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7256" windowHeight="4920" activeTab="2"/>
  </bookViews>
  <sheets>
    <sheet name="Employee Information" sheetId="1" r:id="rId1"/>
    <sheet name="Performance Records" sheetId="2" r:id="rId2"/>
    <sheet name="Performance summary" sheetId="3" r:id="rId3"/>
  </sheets>
  <definedNames>
    <definedName name="_xlnm.Print_Area" localSheetId="2">'Performance summary'!$L$31</definedName>
  </definedNames>
  <calcPr calcId="162913"/>
</workbook>
</file>

<file path=xl/calcChain.xml><?xml version="1.0" encoding="utf-8"?>
<calcChain xmlns="http://schemas.openxmlformats.org/spreadsheetml/2006/main">
  <c r="B48" i="3" l="1"/>
  <c r="A63" i="3"/>
  <c r="D63" i="3" s="1"/>
  <c r="E63" i="3" s="1"/>
  <c r="A35" i="3"/>
  <c r="D35" i="3" s="1"/>
  <c r="E35" i="3" s="1"/>
  <c r="F35" i="3" s="1"/>
  <c r="A36" i="3"/>
  <c r="D36" i="3" s="1"/>
  <c r="E36" i="3" s="1"/>
  <c r="F36" i="3" s="1"/>
  <c r="A37" i="3"/>
  <c r="D37" i="3" s="1"/>
  <c r="E37" i="3" s="1"/>
  <c r="F37" i="3" s="1"/>
  <c r="A38" i="3"/>
  <c r="D38" i="3" s="1"/>
  <c r="E38" i="3" s="1"/>
  <c r="F38" i="3" s="1"/>
  <c r="A39" i="3"/>
  <c r="D39" i="3" s="1"/>
  <c r="E39" i="3" s="1"/>
  <c r="F39" i="3" s="1"/>
  <c r="A40" i="3"/>
  <c r="D40" i="3" s="1"/>
  <c r="E40" i="3" s="1"/>
  <c r="F40" i="3" s="1"/>
  <c r="A41" i="3"/>
  <c r="D41" i="3" s="1"/>
  <c r="E41" i="3" s="1"/>
  <c r="F41" i="3" s="1"/>
  <c r="A42" i="3"/>
  <c r="D42" i="3" s="1"/>
  <c r="E42" i="3" s="1"/>
  <c r="F42" i="3" s="1"/>
  <c r="A43" i="3"/>
  <c r="D43" i="3" s="1"/>
  <c r="E43" i="3" s="1"/>
  <c r="F43" i="3" s="1"/>
  <c r="A44" i="3"/>
  <c r="D44" i="3" s="1"/>
  <c r="E44" i="3" s="1"/>
  <c r="F44" i="3" s="1"/>
  <c r="A45" i="3"/>
  <c r="D45" i="3" s="1"/>
  <c r="E45" i="3" s="1"/>
  <c r="F45" i="3" s="1"/>
  <c r="A46" i="3"/>
  <c r="D46" i="3" s="1"/>
  <c r="E46" i="3" s="1"/>
  <c r="F46" i="3" s="1"/>
  <c r="A47" i="3"/>
  <c r="D47" i="3" s="1"/>
  <c r="E47" i="3" s="1"/>
  <c r="F47" i="3" s="1"/>
  <c r="A48" i="3"/>
  <c r="D48" i="3" s="1"/>
  <c r="E48" i="3" s="1"/>
  <c r="F48" i="3" s="1"/>
  <c r="A49" i="3"/>
  <c r="D49" i="3" s="1"/>
  <c r="E49" i="3" s="1"/>
  <c r="F49" i="3" s="1"/>
  <c r="A50" i="3"/>
  <c r="D50" i="3" s="1"/>
  <c r="E50" i="3" s="1"/>
  <c r="F50" i="3" s="1"/>
  <c r="A51" i="3"/>
  <c r="D51" i="3" s="1"/>
  <c r="E51" i="3" s="1"/>
  <c r="F51" i="3" s="1"/>
  <c r="A52" i="3"/>
  <c r="D52" i="3" s="1"/>
  <c r="E52" i="3" s="1"/>
  <c r="F52" i="3" s="1"/>
  <c r="A53" i="3"/>
  <c r="D53" i="3" s="1"/>
  <c r="E53" i="3" s="1"/>
  <c r="F53" i="3" s="1"/>
  <c r="A54" i="3"/>
  <c r="D54" i="3" s="1"/>
  <c r="E54" i="3" s="1"/>
  <c r="F54" i="3" s="1"/>
  <c r="A55" i="3"/>
  <c r="D55" i="3" s="1"/>
  <c r="E55" i="3" s="1"/>
  <c r="F55" i="3" s="1"/>
  <c r="A56" i="3"/>
  <c r="D56" i="3" s="1"/>
  <c r="E56" i="3" s="1"/>
  <c r="F56" i="3" s="1"/>
  <c r="A57" i="3"/>
  <c r="D57" i="3" s="1"/>
  <c r="E57" i="3" s="1"/>
  <c r="F57" i="3" s="1"/>
  <c r="A58" i="3"/>
  <c r="D58" i="3" s="1"/>
  <c r="E58" i="3" s="1"/>
  <c r="F58" i="3" s="1"/>
  <c r="A59" i="3"/>
  <c r="D59" i="3" s="1"/>
  <c r="E59" i="3" s="1"/>
  <c r="F59" i="3" s="1"/>
  <c r="A60" i="3"/>
  <c r="D60" i="3" s="1"/>
  <c r="E60" i="3" s="1"/>
  <c r="F60" i="3" s="1"/>
  <c r="A61" i="3"/>
  <c r="D61" i="3" s="1"/>
  <c r="E61" i="3" s="1"/>
  <c r="F61" i="3" s="1"/>
  <c r="A62" i="3"/>
  <c r="D62" i="3" s="1"/>
  <c r="E62" i="3" s="1"/>
  <c r="F62" i="3" s="1"/>
  <c r="A5" i="3"/>
  <c r="D5" i="3" s="1"/>
  <c r="E5" i="3" s="1"/>
  <c r="F5" i="3" s="1"/>
  <c r="A6" i="3"/>
  <c r="D6" i="3" s="1"/>
  <c r="E6" i="3" s="1"/>
  <c r="F6" i="3" s="1"/>
  <c r="A7" i="3"/>
  <c r="D7" i="3" s="1"/>
  <c r="E7" i="3" s="1"/>
  <c r="F7" i="3" s="1"/>
  <c r="A8" i="3"/>
  <c r="D8" i="3" s="1"/>
  <c r="E8" i="3" s="1"/>
  <c r="F8" i="3" s="1"/>
  <c r="A9" i="3"/>
  <c r="D9" i="3" s="1"/>
  <c r="E9" i="3" s="1"/>
  <c r="F9" i="3" s="1"/>
  <c r="A10" i="3"/>
  <c r="D10" i="3" s="1"/>
  <c r="E10" i="3" s="1"/>
  <c r="F10" i="3" s="1"/>
  <c r="A11" i="3"/>
  <c r="D11" i="3" s="1"/>
  <c r="E11" i="3" s="1"/>
  <c r="F11" i="3" s="1"/>
  <c r="A12" i="3"/>
  <c r="D12" i="3" s="1"/>
  <c r="E12" i="3" s="1"/>
  <c r="F12" i="3" s="1"/>
  <c r="A13" i="3"/>
  <c r="D13" i="3" s="1"/>
  <c r="E13" i="3" s="1"/>
  <c r="F13" i="3" s="1"/>
  <c r="A14" i="3"/>
  <c r="D14" i="3" s="1"/>
  <c r="E14" i="3" s="1"/>
  <c r="F14" i="3" s="1"/>
  <c r="A15" i="3"/>
  <c r="D15" i="3" s="1"/>
  <c r="E15" i="3" s="1"/>
  <c r="F15" i="3" s="1"/>
  <c r="A16" i="3"/>
  <c r="D16" i="3" s="1"/>
  <c r="E16" i="3" s="1"/>
  <c r="F16" i="3" s="1"/>
  <c r="A17" i="3"/>
  <c r="D17" i="3" s="1"/>
  <c r="E17" i="3" s="1"/>
  <c r="F17" i="3" s="1"/>
  <c r="A18" i="3"/>
  <c r="D18" i="3" s="1"/>
  <c r="E18" i="3" s="1"/>
  <c r="F18" i="3" s="1"/>
  <c r="A19" i="3"/>
  <c r="D19" i="3" s="1"/>
  <c r="E19" i="3" s="1"/>
  <c r="F19" i="3" s="1"/>
  <c r="A20" i="3"/>
  <c r="D20" i="3" s="1"/>
  <c r="E20" i="3" s="1"/>
  <c r="F20" i="3" s="1"/>
  <c r="A21" i="3"/>
  <c r="D21" i="3" s="1"/>
  <c r="E21" i="3" s="1"/>
  <c r="F21" i="3" s="1"/>
  <c r="A22" i="3"/>
  <c r="D22" i="3" s="1"/>
  <c r="E22" i="3" s="1"/>
  <c r="F22" i="3" s="1"/>
  <c r="A23" i="3"/>
  <c r="D23" i="3" s="1"/>
  <c r="E23" i="3" s="1"/>
  <c r="F23" i="3" s="1"/>
  <c r="A24" i="3"/>
  <c r="D24" i="3" s="1"/>
  <c r="E24" i="3" s="1"/>
  <c r="F24" i="3" s="1"/>
  <c r="A25" i="3"/>
  <c r="D25" i="3" s="1"/>
  <c r="E25" i="3" s="1"/>
  <c r="F25" i="3" s="1"/>
  <c r="A26" i="3"/>
  <c r="D26" i="3" s="1"/>
  <c r="E26" i="3" s="1"/>
  <c r="F26" i="3" s="1"/>
  <c r="A27" i="3"/>
  <c r="D27" i="3" s="1"/>
  <c r="E27" i="3" s="1"/>
  <c r="F27" i="3" s="1"/>
  <c r="A28" i="3"/>
  <c r="D28" i="3" s="1"/>
  <c r="E28" i="3" s="1"/>
  <c r="F28" i="3" s="1"/>
  <c r="A29" i="3"/>
  <c r="D29" i="3" s="1"/>
  <c r="E29" i="3" s="1"/>
  <c r="F29" i="3" s="1"/>
  <c r="A30" i="3"/>
  <c r="D30" i="3" s="1"/>
  <c r="E30" i="3" s="1"/>
  <c r="F30" i="3" s="1"/>
  <c r="A31" i="3"/>
  <c r="D31" i="3" s="1"/>
  <c r="E31" i="3" s="1"/>
  <c r="F31" i="3" s="1"/>
  <c r="A32" i="3"/>
  <c r="D32" i="3" s="1"/>
  <c r="E32" i="3" s="1"/>
  <c r="F32" i="3" s="1"/>
  <c r="A33" i="3"/>
  <c r="D33" i="3" s="1"/>
  <c r="E33" i="3" s="1"/>
  <c r="F33" i="3" s="1"/>
  <c r="A34" i="3"/>
  <c r="D34" i="3" s="1"/>
  <c r="E34" i="3" s="1"/>
  <c r="F34" i="3" s="1"/>
  <c r="A4" i="3"/>
  <c r="D4" i="3" s="1"/>
  <c r="E4" i="3" s="1"/>
  <c r="B60" i="3" l="1"/>
  <c r="B44" i="3"/>
  <c r="B56" i="3"/>
  <c r="B40" i="3"/>
  <c r="B52" i="3"/>
  <c r="B36" i="3"/>
  <c r="F4" i="3"/>
  <c r="F63" i="3"/>
  <c r="B4" i="3"/>
  <c r="B32" i="3"/>
  <c r="B28" i="3"/>
  <c r="B24" i="3"/>
  <c r="B20" i="3"/>
  <c r="B16" i="3"/>
  <c r="B12" i="3"/>
  <c r="B8" i="3"/>
  <c r="C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B63" i="3"/>
  <c r="B59" i="3"/>
  <c r="B55" i="3"/>
  <c r="B51" i="3"/>
  <c r="B47" i="3"/>
  <c r="B43" i="3"/>
  <c r="B39" i="3"/>
  <c r="B35" i="3"/>
  <c r="B31" i="3"/>
  <c r="B27" i="3"/>
  <c r="B23" i="3"/>
  <c r="B19" i="3"/>
  <c r="B15" i="3"/>
  <c r="B11" i="3"/>
  <c r="B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B62" i="3"/>
  <c r="B58" i="3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B61" i="3"/>
  <c r="B57" i="3"/>
  <c r="B53" i="3"/>
  <c r="B49" i="3"/>
  <c r="B45" i="3"/>
  <c r="B41" i="3"/>
  <c r="B37" i="3"/>
  <c r="B33" i="3"/>
  <c r="B29" i="3"/>
  <c r="B25" i="3"/>
  <c r="B21" i="3"/>
  <c r="B17" i="3"/>
  <c r="B13" i="3"/>
  <c r="B9" i="3"/>
  <c r="B5" i="3"/>
  <c r="C61" i="3"/>
  <c r="C57" i="3"/>
  <c r="C53" i="3"/>
  <c r="C49" i="3"/>
  <c r="C45" i="3"/>
  <c r="C41" i="3"/>
  <c r="C37" i="3"/>
  <c r="C33" i="3"/>
  <c r="C29" i="3"/>
  <c r="C25" i="3"/>
  <c r="C21" i="3"/>
  <c r="C17" i="3"/>
  <c r="C13" i="3"/>
  <c r="C9" i="3"/>
  <c r="C5" i="3"/>
</calcChain>
</file>

<file path=xl/sharedStrings.xml><?xml version="1.0" encoding="utf-8"?>
<sst xmlns="http://schemas.openxmlformats.org/spreadsheetml/2006/main" count="308" uniqueCount="203">
  <si>
    <t>Employee ID</t>
  </si>
  <si>
    <t>Employee Name</t>
  </si>
  <si>
    <t>Department</t>
  </si>
  <si>
    <t>Hire Date</t>
  </si>
  <si>
    <t>EMP1001</t>
  </si>
  <si>
    <t>Employee 1</t>
  </si>
  <si>
    <t>Operations</t>
  </si>
  <si>
    <t>2022-01-23</t>
  </si>
  <si>
    <t>EMP1002</t>
  </si>
  <si>
    <t>Employee 2</t>
  </si>
  <si>
    <t>Admin</t>
  </si>
  <si>
    <t>2025-08-26</t>
  </si>
  <si>
    <t>EMP1003</t>
  </si>
  <si>
    <t>Employee 3</t>
  </si>
  <si>
    <t>Finance</t>
  </si>
  <si>
    <t>2020-11-16</t>
  </si>
  <si>
    <t>EMP1004</t>
  </si>
  <si>
    <t>Employee 4</t>
  </si>
  <si>
    <t>Sales</t>
  </si>
  <si>
    <t>2024-04-19</t>
  </si>
  <si>
    <t>EMP1005</t>
  </si>
  <si>
    <t>Employee 5</t>
  </si>
  <si>
    <t>2023-08-17</t>
  </si>
  <si>
    <t>EMP1006</t>
  </si>
  <si>
    <t>Employee 6</t>
  </si>
  <si>
    <t>HR</t>
  </si>
  <si>
    <t>2021-03-15</t>
  </si>
  <si>
    <t>EMP1007</t>
  </si>
  <si>
    <t>Employee 7</t>
  </si>
  <si>
    <t>2024-10-09</t>
  </si>
  <si>
    <t>EMP1008</t>
  </si>
  <si>
    <t>Employee 8</t>
  </si>
  <si>
    <t>IT</t>
  </si>
  <si>
    <t>2021-08-19</t>
  </si>
  <si>
    <t>EMP1009</t>
  </si>
  <si>
    <t>Employee 9</t>
  </si>
  <si>
    <t>2023-11-05</t>
  </si>
  <si>
    <t>EMP1010</t>
  </si>
  <si>
    <t>Employee 10</t>
  </si>
  <si>
    <t>2020-06-18</t>
  </si>
  <si>
    <t>EMP1011</t>
  </si>
  <si>
    <t>Employee 11</t>
  </si>
  <si>
    <t>2024-11-23</t>
  </si>
  <si>
    <t>EMP1012</t>
  </si>
  <si>
    <t>Employee 12</t>
  </si>
  <si>
    <t>2025-03-04</t>
  </si>
  <si>
    <t>EMP1013</t>
  </si>
  <si>
    <t>Employee 13</t>
  </si>
  <si>
    <t>2021-03-26</t>
  </si>
  <si>
    <t>EMP1014</t>
  </si>
  <si>
    <t>Employee 14</t>
  </si>
  <si>
    <t>2025-10-03</t>
  </si>
  <si>
    <t>EMP1015</t>
  </si>
  <si>
    <t>Employee 15</t>
  </si>
  <si>
    <t>2025-02-01</t>
  </si>
  <si>
    <t>EMP1016</t>
  </si>
  <si>
    <t>Employee 16</t>
  </si>
  <si>
    <t>2025-01-09</t>
  </si>
  <si>
    <t>EMP1017</t>
  </si>
  <si>
    <t>Employee 17</t>
  </si>
  <si>
    <t>Procurement</t>
  </si>
  <si>
    <t>2022-04-20</t>
  </si>
  <si>
    <t xml:space="preserve">EMP1018 </t>
  </si>
  <si>
    <t>Employee 18</t>
  </si>
  <si>
    <t>2024-06-16</t>
  </si>
  <si>
    <t>EMP1019</t>
  </si>
  <si>
    <t>Employee 19</t>
  </si>
  <si>
    <t>2023-12-01</t>
  </si>
  <si>
    <t>EMP1020</t>
  </si>
  <si>
    <t>Employee 20</t>
  </si>
  <si>
    <t>2023-08-22</t>
  </si>
  <si>
    <t>EMP1021</t>
  </si>
  <si>
    <t>Employee 21</t>
  </si>
  <si>
    <t>2025-10-22</t>
  </si>
  <si>
    <t>EMP1022</t>
  </si>
  <si>
    <t>Employee 22</t>
  </si>
  <si>
    <t>2025-06-28</t>
  </si>
  <si>
    <t>EMP1023</t>
  </si>
  <si>
    <t>Employee 23</t>
  </si>
  <si>
    <t>2021-10-13</t>
  </si>
  <si>
    <t>EMP1024</t>
  </si>
  <si>
    <t>Employee 24</t>
  </si>
  <si>
    <t>2023-04-07</t>
  </si>
  <si>
    <t>EMP1025</t>
  </si>
  <si>
    <t>Employee 25</t>
  </si>
  <si>
    <t>2020-09-02</t>
  </si>
  <si>
    <t>EMP1026</t>
  </si>
  <si>
    <t>Employee 26</t>
  </si>
  <si>
    <t>2024-12-09</t>
  </si>
  <si>
    <t>EMP1027</t>
  </si>
  <si>
    <t>Employee 27</t>
  </si>
  <si>
    <t>2023-04-26</t>
  </si>
  <si>
    <t>EMP1028</t>
  </si>
  <si>
    <t>Employee 28</t>
  </si>
  <si>
    <t>2020-12-01</t>
  </si>
  <si>
    <t>EMP1029</t>
  </si>
  <si>
    <t>Employee 29</t>
  </si>
  <si>
    <t>2023-06-15</t>
  </si>
  <si>
    <t>EMP1030</t>
  </si>
  <si>
    <t>Employee 30</t>
  </si>
  <si>
    <t>2025-06-05</t>
  </si>
  <si>
    <t>EMP1031</t>
  </si>
  <si>
    <t>Employee 31</t>
  </si>
  <si>
    <t>2025-05-05</t>
  </si>
  <si>
    <t>EMP1032</t>
  </si>
  <si>
    <t>Employee 32</t>
  </si>
  <si>
    <t>2020-04-27</t>
  </si>
  <si>
    <t>EMP1033</t>
  </si>
  <si>
    <t>Employee 33</t>
  </si>
  <si>
    <t>2020-04-23</t>
  </si>
  <si>
    <t>EMP1034</t>
  </si>
  <si>
    <t>Employee 34</t>
  </si>
  <si>
    <t>2025-03-16</t>
  </si>
  <si>
    <t>EMP1035</t>
  </si>
  <si>
    <t>Employee 35</t>
  </si>
  <si>
    <t>2021-11-15</t>
  </si>
  <si>
    <t xml:space="preserve">EMP1036 </t>
  </si>
  <si>
    <t>Employee 36</t>
  </si>
  <si>
    <t>2021-02-16</t>
  </si>
  <si>
    <t>EMP1037</t>
  </si>
  <si>
    <t>Employee 37</t>
  </si>
  <si>
    <t>2022-01-19</t>
  </si>
  <si>
    <t>EMP1038</t>
  </si>
  <si>
    <t>Employee 38</t>
  </si>
  <si>
    <t>2024-01-22</t>
  </si>
  <si>
    <t>EMP1039</t>
  </si>
  <si>
    <t>Employee 39</t>
  </si>
  <si>
    <t>2021-12-01</t>
  </si>
  <si>
    <t>EMP1040</t>
  </si>
  <si>
    <t>Employee 40</t>
  </si>
  <si>
    <t>2021-11-23</t>
  </si>
  <si>
    <t>EMP1041</t>
  </si>
  <si>
    <t>Employee 41</t>
  </si>
  <si>
    <t>2022-09-23</t>
  </si>
  <si>
    <t xml:space="preserve">EMP1042 </t>
  </si>
  <si>
    <t>Employee 42</t>
  </si>
  <si>
    <t>2024-11-12</t>
  </si>
  <si>
    <t>EMP1043</t>
  </si>
  <si>
    <t>Employee 43</t>
  </si>
  <si>
    <t>2022-03-06</t>
  </si>
  <si>
    <t>EMP1044</t>
  </si>
  <si>
    <t>Employee 44</t>
  </si>
  <si>
    <t>2022-10-24</t>
  </si>
  <si>
    <t>EMP1045</t>
  </si>
  <si>
    <t>Employee 45</t>
  </si>
  <si>
    <t>2023-08-20</t>
  </si>
  <si>
    <t>EMP1046</t>
  </si>
  <si>
    <t>Employee 46</t>
  </si>
  <si>
    <t>2025-11-17</t>
  </si>
  <si>
    <t>EMP1047</t>
  </si>
  <si>
    <t>Employee 47</t>
  </si>
  <si>
    <t>2024-12-06</t>
  </si>
  <si>
    <t>EMP1048</t>
  </si>
  <si>
    <t>Employee 48</t>
  </si>
  <si>
    <t>EMP1049</t>
  </si>
  <si>
    <t>Employee 49</t>
  </si>
  <si>
    <t>2020-03-28</t>
  </si>
  <si>
    <t>EMP1050</t>
  </si>
  <si>
    <t>Employee 50</t>
  </si>
  <si>
    <t>2023-08-18</t>
  </si>
  <si>
    <t>EMP1051</t>
  </si>
  <si>
    <t>Employee 51</t>
  </si>
  <si>
    <t>2021-01-02</t>
  </si>
  <si>
    <t>EMP1052</t>
  </si>
  <si>
    <t>Employee 52</t>
  </si>
  <si>
    <t>2021-04-13</t>
  </si>
  <si>
    <t>EMP1053</t>
  </si>
  <si>
    <t>Employee 53</t>
  </si>
  <si>
    <t>EMP1054</t>
  </si>
  <si>
    <t>Employee 54</t>
  </si>
  <si>
    <t>2024-06-24</t>
  </si>
  <si>
    <t>EMP1055</t>
  </si>
  <si>
    <t>Employee 55</t>
  </si>
  <si>
    <t>2020-11-15</t>
  </si>
  <si>
    <t>EMP1056</t>
  </si>
  <si>
    <t>Employee 56</t>
  </si>
  <si>
    <t>2023-02-20</t>
  </si>
  <si>
    <t>EMP1057</t>
  </si>
  <si>
    <t>Employee 57</t>
  </si>
  <si>
    <t>2022-06-25</t>
  </si>
  <si>
    <t xml:space="preserve">EMP1058 </t>
  </si>
  <si>
    <t>Employee 58</t>
  </si>
  <si>
    <t>2020-12-21</t>
  </si>
  <si>
    <t>EMP1059</t>
  </si>
  <si>
    <t>Employee 59</t>
  </si>
  <si>
    <t>2023-09-15</t>
  </si>
  <si>
    <t>EMP1060</t>
  </si>
  <si>
    <t>Employee 60</t>
  </si>
  <si>
    <t>2025-01-08</t>
  </si>
  <si>
    <t>Performance Score</t>
  </si>
  <si>
    <t xml:space="preserve"> EMP1005</t>
  </si>
  <si>
    <t>EMP1018</t>
  </si>
  <si>
    <t>EMP1036</t>
  </si>
  <si>
    <t>EMP1042</t>
  </si>
  <si>
    <t xml:space="preserve"> EMP1053</t>
  </si>
  <si>
    <t>EMP1058</t>
  </si>
  <si>
    <t>EMPLOYEE ID</t>
  </si>
  <si>
    <t>EMPLOYEE NAME</t>
  </si>
  <si>
    <t>DEPARTMENT</t>
  </si>
  <si>
    <t>PERFORMANCE SCORE</t>
  </si>
  <si>
    <t>PERFORMANCE RATING</t>
  </si>
  <si>
    <t>BONUS ELIGIBILITY</t>
  </si>
  <si>
    <t>HAVEN ORDER COMPANY - EMPLOYEE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</si>
</sst>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13"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4F81D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538DD5"/>
        </patternFill>
      </fill>
    </dxf>
  </dxfs>
  <tableStyles count="0" defaultTableStyle="TableStyleMedium9" defaultPivotStyle="PivotStyleLight16"/>
  <colors>
    <mruColors>
      <color rgb="FF4F81D5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opLeftCell="A53" workbookViewId="0">
      <selection activeCell="F78" sqref="F78"/>
    </sheetView>
  </sheetViews>
  <sheetFormatPr defaultRowHeight="14.4" x14ac:dyDescent="0.3"/>
  <cols>
    <col min="1" max="1" width="13.5546875" customWidth="1"/>
    <col min="2" max="2" width="18.109375" customWidth="1"/>
    <col min="3" max="4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18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6</v>
      </c>
      <c r="D8" t="s">
        <v>29</v>
      </c>
    </row>
    <row r="9" spans="1:4" x14ac:dyDescent="0.3">
      <c r="A9" t="s">
        <v>30</v>
      </c>
      <c r="B9" t="s">
        <v>31</v>
      </c>
      <c r="C9" t="s">
        <v>32</v>
      </c>
      <c r="D9" t="s">
        <v>33</v>
      </c>
    </row>
    <row r="10" spans="1:4" x14ac:dyDescent="0.3">
      <c r="A10" t="s">
        <v>34</v>
      </c>
      <c r="B10" t="s">
        <v>35</v>
      </c>
      <c r="C10" t="s">
        <v>6</v>
      </c>
      <c r="D10" t="s">
        <v>36</v>
      </c>
    </row>
    <row r="11" spans="1:4" x14ac:dyDescent="0.3">
      <c r="A11" t="s">
        <v>37</v>
      </c>
      <c r="B11" t="s">
        <v>38</v>
      </c>
      <c r="C11" t="s">
        <v>18</v>
      </c>
      <c r="D11" t="s">
        <v>39</v>
      </c>
    </row>
    <row r="12" spans="1:4" x14ac:dyDescent="0.3">
      <c r="A12" t="s">
        <v>40</v>
      </c>
      <c r="B12" t="s">
        <v>41</v>
      </c>
      <c r="C12" t="s">
        <v>18</v>
      </c>
      <c r="D12" t="s">
        <v>42</v>
      </c>
    </row>
    <row r="13" spans="1:4" x14ac:dyDescent="0.3">
      <c r="A13" t="s">
        <v>43</v>
      </c>
      <c r="B13" t="s">
        <v>44</v>
      </c>
      <c r="C13" t="s">
        <v>32</v>
      </c>
      <c r="D13" t="s">
        <v>45</v>
      </c>
    </row>
    <row r="14" spans="1:4" x14ac:dyDescent="0.3">
      <c r="A14" t="s">
        <v>46</v>
      </c>
      <c r="B14" t="s">
        <v>47</v>
      </c>
      <c r="C14" t="s">
        <v>14</v>
      </c>
      <c r="D14" t="s">
        <v>48</v>
      </c>
    </row>
    <row r="15" spans="1:4" x14ac:dyDescent="0.3">
      <c r="A15" t="s">
        <v>49</v>
      </c>
      <c r="B15" t="s">
        <v>50</v>
      </c>
      <c r="C15" t="s">
        <v>32</v>
      </c>
      <c r="D15" t="s">
        <v>51</v>
      </c>
    </row>
    <row r="16" spans="1:4" x14ac:dyDescent="0.3">
      <c r="A16" t="s">
        <v>52</v>
      </c>
      <c r="B16" t="s">
        <v>53</v>
      </c>
      <c r="C16" t="s">
        <v>18</v>
      </c>
      <c r="D16" t="s">
        <v>54</v>
      </c>
    </row>
    <row r="17" spans="1:4" x14ac:dyDescent="0.3">
      <c r="A17" t="s">
        <v>55</v>
      </c>
      <c r="B17" t="s">
        <v>56</v>
      </c>
      <c r="C17" t="s">
        <v>14</v>
      </c>
      <c r="D17" t="s">
        <v>57</v>
      </c>
    </row>
    <row r="18" spans="1:4" x14ac:dyDescent="0.3">
      <c r="A18" t="s">
        <v>58</v>
      </c>
      <c r="B18" t="s">
        <v>59</v>
      </c>
      <c r="C18" t="s">
        <v>60</v>
      </c>
      <c r="D18" t="s">
        <v>61</v>
      </c>
    </row>
    <row r="19" spans="1:4" x14ac:dyDescent="0.3">
      <c r="A19" t="s">
        <v>62</v>
      </c>
      <c r="B19" t="s">
        <v>63</v>
      </c>
      <c r="C19" t="s">
        <v>6</v>
      </c>
      <c r="D19" t="s">
        <v>64</v>
      </c>
    </row>
    <row r="20" spans="1:4" x14ac:dyDescent="0.3">
      <c r="A20" t="s">
        <v>65</v>
      </c>
      <c r="B20" t="s">
        <v>66</v>
      </c>
      <c r="C20" t="s">
        <v>14</v>
      </c>
      <c r="D20" t="s">
        <v>67</v>
      </c>
    </row>
    <row r="21" spans="1:4" x14ac:dyDescent="0.3">
      <c r="A21" t="s">
        <v>68</v>
      </c>
      <c r="B21" t="s">
        <v>69</v>
      </c>
      <c r="C21" t="s">
        <v>10</v>
      </c>
      <c r="D21" t="s">
        <v>70</v>
      </c>
    </row>
    <row r="22" spans="1:4" x14ac:dyDescent="0.3">
      <c r="A22" t="s">
        <v>71</v>
      </c>
      <c r="B22" t="s">
        <v>72</v>
      </c>
      <c r="C22" t="s">
        <v>18</v>
      </c>
      <c r="D22" t="s">
        <v>73</v>
      </c>
    </row>
    <row r="23" spans="1:4" x14ac:dyDescent="0.3">
      <c r="A23" t="s">
        <v>74</v>
      </c>
      <c r="B23" t="s">
        <v>75</v>
      </c>
      <c r="C23" t="s">
        <v>6</v>
      </c>
      <c r="D23" t="s">
        <v>76</v>
      </c>
    </row>
    <row r="24" spans="1:4" x14ac:dyDescent="0.3">
      <c r="A24" t="s">
        <v>77</v>
      </c>
      <c r="B24" t="s">
        <v>78</v>
      </c>
      <c r="C24" t="s">
        <v>25</v>
      </c>
      <c r="D24" t="s">
        <v>79</v>
      </c>
    </row>
    <row r="25" spans="1:4" x14ac:dyDescent="0.3">
      <c r="A25" t="s">
        <v>80</v>
      </c>
      <c r="B25" t="s">
        <v>81</v>
      </c>
      <c r="C25" t="s">
        <v>18</v>
      </c>
      <c r="D25" t="s">
        <v>82</v>
      </c>
    </row>
    <row r="26" spans="1:4" x14ac:dyDescent="0.3">
      <c r="A26" t="s">
        <v>83</v>
      </c>
      <c r="B26" t="s">
        <v>84</v>
      </c>
      <c r="C26" t="s">
        <v>32</v>
      </c>
      <c r="D26" t="s">
        <v>85</v>
      </c>
    </row>
    <row r="27" spans="1:4" x14ac:dyDescent="0.3">
      <c r="A27" t="s">
        <v>86</v>
      </c>
      <c r="B27" t="s">
        <v>87</v>
      </c>
      <c r="C27" t="s">
        <v>14</v>
      </c>
      <c r="D27" t="s">
        <v>88</v>
      </c>
    </row>
    <row r="28" spans="1:4" x14ac:dyDescent="0.3">
      <c r="A28" t="s">
        <v>89</v>
      </c>
      <c r="B28" t="s">
        <v>90</v>
      </c>
      <c r="C28" t="s">
        <v>10</v>
      </c>
      <c r="D28" t="s">
        <v>91</v>
      </c>
    </row>
    <row r="29" spans="1:4" x14ac:dyDescent="0.3">
      <c r="A29" t="s">
        <v>92</v>
      </c>
      <c r="B29" t="s">
        <v>93</v>
      </c>
      <c r="C29" t="s">
        <v>60</v>
      </c>
      <c r="D29" t="s">
        <v>94</v>
      </c>
    </row>
    <row r="30" spans="1:4" x14ac:dyDescent="0.3">
      <c r="A30" t="s">
        <v>95</v>
      </c>
      <c r="B30" t="s">
        <v>96</v>
      </c>
      <c r="C30" t="s">
        <v>10</v>
      </c>
      <c r="D30" t="s">
        <v>97</v>
      </c>
    </row>
    <row r="31" spans="1:4" x14ac:dyDescent="0.3">
      <c r="A31" t="s">
        <v>98</v>
      </c>
      <c r="B31" t="s">
        <v>99</v>
      </c>
      <c r="C31" t="s">
        <v>32</v>
      </c>
      <c r="D31" t="s">
        <v>100</v>
      </c>
    </row>
    <row r="32" spans="1:4" x14ac:dyDescent="0.3">
      <c r="A32" t="s">
        <v>101</v>
      </c>
      <c r="B32" t="s">
        <v>102</v>
      </c>
      <c r="C32" t="s">
        <v>18</v>
      </c>
      <c r="D32" t="s">
        <v>103</v>
      </c>
    </row>
    <row r="33" spans="1:4" x14ac:dyDescent="0.3">
      <c r="A33" t="s">
        <v>104</v>
      </c>
      <c r="B33" t="s">
        <v>105</v>
      </c>
      <c r="C33" t="s">
        <v>10</v>
      </c>
      <c r="D33" t="s">
        <v>106</v>
      </c>
    </row>
    <row r="34" spans="1:4" x14ac:dyDescent="0.3">
      <c r="A34" t="s">
        <v>107</v>
      </c>
      <c r="B34" t="s">
        <v>108</v>
      </c>
      <c r="C34" t="s">
        <v>10</v>
      </c>
      <c r="D34" t="s">
        <v>109</v>
      </c>
    </row>
    <row r="35" spans="1:4" x14ac:dyDescent="0.3">
      <c r="A35" t="s">
        <v>110</v>
      </c>
      <c r="B35" t="s">
        <v>111</v>
      </c>
      <c r="C35" t="s">
        <v>6</v>
      </c>
      <c r="D35" t="s">
        <v>112</v>
      </c>
    </row>
    <row r="36" spans="1:4" x14ac:dyDescent="0.3">
      <c r="A36" t="s">
        <v>113</v>
      </c>
      <c r="B36" t="s">
        <v>114</v>
      </c>
      <c r="C36" t="s">
        <v>6</v>
      </c>
      <c r="D36" t="s">
        <v>115</v>
      </c>
    </row>
    <row r="37" spans="1:4" x14ac:dyDescent="0.3">
      <c r="A37" t="s">
        <v>116</v>
      </c>
      <c r="B37" t="s">
        <v>117</v>
      </c>
      <c r="C37" t="s">
        <v>10</v>
      </c>
      <c r="D37" t="s">
        <v>118</v>
      </c>
    </row>
    <row r="38" spans="1:4" x14ac:dyDescent="0.3">
      <c r="A38" t="s">
        <v>119</v>
      </c>
      <c r="B38" t="s">
        <v>120</v>
      </c>
      <c r="C38" t="s">
        <v>32</v>
      </c>
      <c r="D38" t="s">
        <v>121</v>
      </c>
    </row>
    <row r="39" spans="1:4" x14ac:dyDescent="0.3">
      <c r="A39" t="s">
        <v>122</v>
      </c>
      <c r="B39" t="s">
        <v>123</v>
      </c>
      <c r="C39" t="s">
        <v>10</v>
      </c>
      <c r="D39" t="s">
        <v>124</v>
      </c>
    </row>
    <row r="40" spans="1:4" x14ac:dyDescent="0.3">
      <c r="A40" t="s">
        <v>125</v>
      </c>
      <c r="B40" t="s">
        <v>126</v>
      </c>
      <c r="C40" t="s">
        <v>32</v>
      </c>
      <c r="D40" t="s">
        <v>127</v>
      </c>
    </row>
    <row r="41" spans="1:4" x14ac:dyDescent="0.3">
      <c r="A41" t="s">
        <v>128</v>
      </c>
      <c r="B41" t="s">
        <v>129</v>
      </c>
      <c r="C41" t="s">
        <v>14</v>
      </c>
      <c r="D41" t="s">
        <v>130</v>
      </c>
    </row>
    <row r="42" spans="1:4" x14ac:dyDescent="0.3">
      <c r="A42" t="s">
        <v>131</v>
      </c>
      <c r="B42" t="s">
        <v>132</v>
      </c>
      <c r="C42" t="s">
        <v>18</v>
      </c>
      <c r="D42" t="s">
        <v>133</v>
      </c>
    </row>
    <row r="43" spans="1:4" x14ac:dyDescent="0.3">
      <c r="A43" t="s">
        <v>134</v>
      </c>
      <c r="B43" t="s">
        <v>135</v>
      </c>
      <c r="C43" t="s">
        <v>60</v>
      </c>
      <c r="D43" t="s">
        <v>136</v>
      </c>
    </row>
    <row r="44" spans="1:4" x14ac:dyDescent="0.3">
      <c r="A44" t="s">
        <v>137</v>
      </c>
      <c r="B44" t="s">
        <v>138</v>
      </c>
      <c r="C44" t="s">
        <v>18</v>
      </c>
      <c r="D44" t="s">
        <v>139</v>
      </c>
    </row>
    <row r="45" spans="1:4" x14ac:dyDescent="0.3">
      <c r="A45" t="s">
        <v>140</v>
      </c>
      <c r="B45" t="s">
        <v>141</v>
      </c>
      <c r="C45" t="s">
        <v>60</v>
      </c>
      <c r="D45" t="s">
        <v>142</v>
      </c>
    </row>
    <row r="46" spans="1:4" x14ac:dyDescent="0.3">
      <c r="A46" t="s">
        <v>143</v>
      </c>
      <c r="B46" t="s">
        <v>144</v>
      </c>
      <c r="C46" t="s">
        <v>6</v>
      </c>
      <c r="D46" t="s">
        <v>145</v>
      </c>
    </row>
    <row r="47" spans="1:4" x14ac:dyDescent="0.3">
      <c r="A47" t="s">
        <v>146</v>
      </c>
      <c r="B47" t="s">
        <v>147</v>
      </c>
      <c r="C47" t="s">
        <v>6</v>
      </c>
      <c r="D47" t="s">
        <v>148</v>
      </c>
    </row>
    <row r="48" spans="1:4" x14ac:dyDescent="0.3">
      <c r="A48" t="s">
        <v>149</v>
      </c>
      <c r="B48" t="s">
        <v>150</v>
      </c>
      <c r="C48" t="s">
        <v>32</v>
      </c>
      <c r="D48" t="s">
        <v>151</v>
      </c>
    </row>
    <row r="49" spans="1:4" x14ac:dyDescent="0.3">
      <c r="A49" t="s">
        <v>152</v>
      </c>
      <c r="B49" t="s">
        <v>153</v>
      </c>
      <c r="C49" t="s">
        <v>18</v>
      </c>
      <c r="D49" t="s">
        <v>106</v>
      </c>
    </row>
    <row r="50" spans="1:4" x14ac:dyDescent="0.3">
      <c r="A50" t="s">
        <v>154</v>
      </c>
      <c r="B50" t="s">
        <v>155</v>
      </c>
      <c r="C50" t="s">
        <v>14</v>
      </c>
      <c r="D50" t="s">
        <v>156</v>
      </c>
    </row>
    <row r="51" spans="1:4" x14ac:dyDescent="0.3">
      <c r="A51" t="s">
        <v>157</v>
      </c>
      <c r="B51" t="s">
        <v>158</v>
      </c>
      <c r="C51" t="s">
        <v>60</v>
      </c>
      <c r="D51" t="s">
        <v>159</v>
      </c>
    </row>
    <row r="52" spans="1:4" x14ac:dyDescent="0.3">
      <c r="A52" t="s">
        <v>160</v>
      </c>
      <c r="B52" t="s">
        <v>161</v>
      </c>
      <c r="C52" t="s">
        <v>10</v>
      </c>
      <c r="D52" t="s">
        <v>162</v>
      </c>
    </row>
    <row r="53" spans="1:4" x14ac:dyDescent="0.3">
      <c r="A53" t="s">
        <v>163</v>
      </c>
      <c r="B53" t="s">
        <v>164</v>
      </c>
      <c r="C53" t="s">
        <v>10</v>
      </c>
      <c r="D53" t="s">
        <v>165</v>
      </c>
    </row>
    <row r="54" spans="1:4" x14ac:dyDescent="0.3">
      <c r="A54" t="s">
        <v>166</v>
      </c>
      <c r="B54" t="s">
        <v>167</v>
      </c>
      <c r="C54" t="s">
        <v>14</v>
      </c>
      <c r="D54" t="s">
        <v>54</v>
      </c>
    </row>
    <row r="55" spans="1:4" x14ac:dyDescent="0.3">
      <c r="A55" t="s">
        <v>168</v>
      </c>
      <c r="B55" t="s">
        <v>169</v>
      </c>
      <c r="C55" t="s">
        <v>32</v>
      </c>
      <c r="D55" t="s">
        <v>170</v>
      </c>
    </row>
    <row r="56" spans="1:4" x14ac:dyDescent="0.3">
      <c r="A56" t="s">
        <v>171</v>
      </c>
      <c r="B56" t="s">
        <v>172</v>
      </c>
      <c r="C56" t="s">
        <v>6</v>
      </c>
      <c r="D56" t="s">
        <v>173</v>
      </c>
    </row>
    <row r="57" spans="1:4" x14ac:dyDescent="0.3">
      <c r="A57" t="s">
        <v>174</v>
      </c>
      <c r="B57" t="s">
        <v>175</v>
      </c>
      <c r="C57" t="s">
        <v>60</v>
      </c>
      <c r="D57" t="s">
        <v>176</v>
      </c>
    </row>
    <row r="58" spans="1:4" x14ac:dyDescent="0.3">
      <c r="A58" t="s">
        <v>177</v>
      </c>
      <c r="B58" t="s">
        <v>178</v>
      </c>
      <c r="C58" t="s">
        <v>25</v>
      </c>
      <c r="D58" t="s">
        <v>179</v>
      </c>
    </row>
    <row r="59" spans="1:4" x14ac:dyDescent="0.3">
      <c r="A59" t="s">
        <v>180</v>
      </c>
      <c r="B59" t="s">
        <v>181</v>
      </c>
      <c r="C59" t="s">
        <v>14</v>
      </c>
      <c r="D59" t="s">
        <v>182</v>
      </c>
    </row>
    <row r="60" spans="1:4" x14ac:dyDescent="0.3">
      <c r="A60" t="s">
        <v>183</v>
      </c>
      <c r="B60" t="s">
        <v>184</v>
      </c>
      <c r="C60" t="s">
        <v>14</v>
      </c>
      <c r="D60" t="s">
        <v>185</v>
      </c>
    </row>
    <row r="61" spans="1:4" x14ac:dyDescent="0.3">
      <c r="A61" t="s">
        <v>186</v>
      </c>
      <c r="B61" t="s">
        <v>187</v>
      </c>
      <c r="C61" t="s">
        <v>60</v>
      </c>
      <c r="D61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opLeftCell="A19" workbookViewId="0">
      <selection activeCell="E44" sqref="E44"/>
    </sheetView>
  </sheetViews>
  <sheetFormatPr defaultRowHeight="14.4" x14ac:dyDescent="0.3"/>
  <sheetData>
    <row r="1" spans="1:2" x14ac:dyDescent="0.3">
      <c r="A1" t="s">
        <v>0</v>
      </c>
      <c r="B1" t="s">
        <v>189</v>
      </c>
    </row>
    <row r="2" spans="1:2" x14ac:dyDescent="0.3">
      <c r="A2" t="s">
        <v>4</v>
      </c>
      <c r="B2">
        <v>56</v>
      </c>
    </row>
    <row r="3" spans="1:2" x14ac:dyDescent="0.3">
      <c r="A3" t="s">
        <v>8</v>
      </c>
      <c r="B3">
        <v>88</v>
      </c>
    </row>
    <row r="4" spans="1:2" x14ac:dyDescent="0.3">
      <c r="A4" t="s">
        <v>12</v>
      </c>
      <c r="B4">
        <v>68</v>
      </c>
    </row>
    <row r="5" spans="1:2" x14ac:dyDescent="0.3">
      <c r="A5" t="s">
        <v>16</v>
      </c>
      <c r="B5">
        <v>95</v>
      </c>
    </row>
    <row r="6" spans="1:2" x14ac:dyDescent="0.3">
      <c r="A6" t="s">
        <v>190</v>
      </c>
      <c r="B6">
        <v>83</v>
      </c>
    </row>
    <row r="7" spans="1:2" x14ac:dyDescent="0.3">
      <c r="A7" t="s">
        <v>23</v>
      </c>
      <c r="B7">
        <v>48</v>
      </c>
    </row>
    <row r="8" spans="1:2" x14ac:dyDescent="0.3">
      <c r="A8" t="s">
        <v>27</v>
      </c>
      <c r="B8">
        <v>89</v>
      </c>
    </row>
    <row r="9" spans="1:2" x14ac:dyDescent="0.3">
      <c r="A9" t="s">
        <v>34</v>
      </c>
      <c r="B9">
        <v>84</v>
      </c>
    </row>
    <row r="10" spans="1:2" x14ac:dyDescent="0.3">
      <c r="A10" t="s">
        <v>37</v>
      </c>
      <c r="B10">
        <v>63</v>
      </c>
    </row>
    <row r="11" spans="1:2" x14ac:dyDescent="0.3">
      <c r="A11" t="s">
        <v>40</v>
      </c>
      <c r="B11">
        <v>81</v>
      </c>
    </row>
    <row r="12" spans="1:2" x14ac:dyDescent="0.3">
      <c r="A12" t="s">
        <v>43</v>
      </c>
      <c r="B12">
        <v>81</v>
      </c>
    </row>
    <row r="13" spans="1:2" x14ac:dyDescent="0.3">
      <c r="A13" t="s">
        <v>46</v>
      </c>
      <c r="B13">
        <v>74</v>
      </c>
    </row>
    <row r="14" spans="1:2" x14ac:dyDescent="0.3">
      <c r="A14" t="s">
        <v>49</v>
      </c>
      <c r="B14">
        <v>83</v>
      </c>
    </row>
    <row r="15" spans="1:2" x14ac:dyDescent="0.3">
      <c r="A15" t="s">
        <v>52</v>
      </c>
      <c r="B15">
        <v>85</v>
      </c>
    </row>
    <row r="16" spans="1:2" x14ac:dyDescent="0.3">
      <c r="A16" t="s">
        <v>55</v>
      </c>
      <c r="B16">
        <v>52</v>
      </c>
    </row>
    <row r="17" spans="1:2" x14ac:dyDescent="0.3">
      <c r="A17" t="s">
        <v>58</v>
      </c>
      <c r="B17">
        <v>90</v>
      </c>
    </row>
    <row r="18" spans="1:2" x14ac:dyDescent="0.3">
      <c r="A18" t="s">
        <v>191</v>
      </c>
      <c r="B18">
        <v>64</v>
      </c>
    </row>
    <row r="19" spans="1:2" x14ac:dyDescent="0.3">
      <c r="A19" t="s">
        <v>68</v>
      </c>
      <c r="B19">
        <v>65</v>
      </c>
    </row>
    <row r="20" spans="1:2" x14ac:dyDescent="0.3">
      <c r="A20" t="s">
        <v>71</v>
      </c>
      <c r="B20">
        <v>93</v>
      </c>
    </row>
    <row r="21" spans="1:2" x14ac:dyDescent="0.3">
      <c r="A21" t="s">
        <v>74</v>
      </c>
      <c r="B21">
        <v>98</v>
      </c>
    </row>
    <row r="22" spans="1:2" x14ac:dyDescent="0.3">
      <c r="A22" t="s">
        <v>77</v>
      </c>
      <c r="B22">
        <v>88</v>
      </c>
    </row>
    <row r="23" spans="1:2" x14ac:dyDescent="0.3">
      <c r="A23" t="s">
        <v>80</v>
      </c>
      <c r="B23">
        <v>88</v>
      </c>
    </row>
    <row r="24" spans="1:2" x14ac:dyDescent="0.3">
      <c r="A24" t="s">
        <v>83</v>
      </c>
      <c r="B24">
        <v>90</v>
      </c>
    </row>
    <row r="25" spans="1:2" x14ac:dyDescent="0.3">
      <c r="A25" t="s">
        <v>86</v>
      </c>
      <c r="B25">
        <v>68</v>
      </c>
    </row>
    <row r="26" spans="1:2" x14ac:dyDescent="0.3">
      <c r="A26" t="s">
        <v>89</v>
      </c>
      <c r="B26">
        <v>85</v>
      </c>
    </row>
    <row r="27" spans="1:2" x14ac:dyDescent="0.3">
      <c r="A27" t="s">
        <v>92</v>
      </c>
      <c r="B27">
        <v>57</v>
      </c>
    </row>
    <row r="28" spans="1:2" x14ac:dyDescent="0.3">
      <c r="A28" t="s">
        <v>95</v>
      </c>
      <c r="B28">
        <v>56</v>
      </c>
    </row>
    <row r="29" spans="1:2" x14ac:dyDescent="0.3">
      <c r="A29" t="s">
        <v>98</v>
      </c>
      <c r="B29">
        <v>52</v>
      </c>
    </row>
    <row r="30" spans="1:2" x14ac:dyDescent="0.3">
      <c r="A30" t="s">
        <v>101</v>
      </c>
      <c r="B30">
        <v>50</v>
      </c>
    </row>
    <row r="31" spans="1:2" x14ac:dyDescent="0.3">
      <c r="A31" t="s">
        <v>104</v>
      </c>
      <c r="B31">
        <v>92</v>
      </c>
    </row>
    <row r="32" spans="1:2" x14ac:dyDescent="0.3">
      <c r="A32" t="s">
        <v>110</v>
      </c>
      <c r="B32">
        <v>78</v>
      </c>
    </row>
    <row r="33" spans="1:2" x14ac:dyDescent="0.3">
      <c r="A33" t="s">
        <v>113</v>
      </c>
      <c r="B33">
        <v>55</v>
      </c>
    </row>
    <row r="34" spans="1:2" x14ac:dyDescent="0.3">
      <c r="A34" t="s">
        <v>192</v>
      </c>
      <c r="B34">
        <v>48</v>
      </c>
    </row>
    <row r="35" spans="1:2" x14ac:dyDescent="0.3">
      <c r="A35" t="s">
        <v>119</v>
      </c>
      <c r="B35">
        <v>65</v>
      </c>
    </row>
    <row r="36" spans="1:2" x14ac:dyDescent="0.3">
      <c r="A36" t="s">
        <v>122</v>
      </c>
      <c r="B36">
        <v>98</v>
      </c>
    </row>
    <row r="37" spans="1:2" x14ac:dyDescent="0.3">
      <c r="A37" t="s">
        <v>125</v>
      </c>
      <c r="B37">
        <v>99</v>
      </c>
    </row>
    <row r="38" spans="1:2" x14ac:dyDescent="0.3">
      <c r="A38" t="s">
        <v>128</v>
      </c>
      <c r="B38">
        <v>53</v>
      </c>
    </row>
    <row r="39" spans="1:2" x14ac:dyDescent="0.3">
      <c r="A39" t="s">
        <v>131</v>
      </c>
      <c r="B39">
        <v>80</v>
      </c>
    </row>
    <row r="40" spans="1:2" x14ac:dyDescent="0.3">
      <c r="A40" t="s">
        <v>193</v>
      </c>
      <c r="B40">
        <v>80</v>
      </c>
    </row>
    <row r="41" spans="1:2" x14ac:dyDescent="0.3">
      <c r="A41" t="s">
        <v>137</v>
      </c>
      <c r="B41">
        <v>80</v>
      </c>
    </row>
    <row r="42" spans="1:2" x14ac:dyDescent="0.3">
      <c r="A42" t="s">
        <v>140</v>
      </c>
      <c r="B42">
        <v>59</v>
      </c>
    </row>
    <row r="43" spans="1:2" x14ac:dyDescent="0.3">
      <c r="A43" t="s">
        <v>143</v>
      </c>
      <c r="B43">
        <v>77</v>
      </c>
    </row>
    <row r="44" spans="1:2" x14ac:dyDescent="0.3">
      <c r="A44" t="s">
        <v>146</v>
      </c>
      <c r="B44">
        <v>89</v>
      </c>
    </row>
    <row r="45" spans="1:2" x14ac:dyDescent="0.3">
      <c r="A45" t="s">
        <v>152</v>
      </c>
      <c r="B45">
        <v>98</v>
      </c>
    </row>
    <row r="46" spans="1:2" x14ac:dyDescent="0.3">
      <c r="A46" t="s">
        <v>154</v>
      </c>
      <c r="B46">
        <v>50</v>
      </c>
    </row>
    <row r="47" spans="1:2" x14ac:dyDescent="0.3">
      <c r="A47" t="s">
        <v>157</v>
      </c>
      <c r="B47">
        <v>59</v>
      </c>
    </row>
    <row r="48" spans="1:2" x14ac:dyDescent="0.3">
      <c r="A48" t="s">
        <v>160</v>
      </c>
      <c r="B48">
        <v>89</v>
      </c>
    </row>
    <row r="49" spans="1:2" x14ac:dyDescent="0.3">
      <c r="A49" t="s">
        <v>163</v>
      </c>
      <c r="B49">
        <v>96</v>
      </c>
    </row>
    <row r="50" spans="1:2" x14ac:dyDescent="0.3">
      <c r="A50" t="s">
        <v>194</v>
      </c>
      <c r="B50">
        <v>61</v>
      </c>
    </row>
    <row r="51" spans="1:2" x14ac:dyDescent="0.3">
      <c r="A51" t="s">
        <v>168</v>
      </c>
      <c r="B51">
        <v>85</v>
      </c>
    </row>
    <row r="52" spans="1:2" x14ac:dyDescent="0.3">
      <c r="A52" t="s">
        <v>171</v>
      </c>
      <c r="B52">
        <v>77</v>
      </c>
    </row>
    <row r="53" spans="1:2" x14ac:dyDescent="0.3">
      <c r="A53" t="s">
        <v>174</v>
      </c>
      <c r="B53">
        <v>51</v>
      </c>
    </row>
    <row r="54" spans="1:2" x14ac:dyDescent="0.3">
      <c r="A54" t="s">
        <v>177</v>
      </c>
      <c r="B54">
        <v>67</v>
      </c>
    </row>
    <row r="55" spans="1:2" x14ac:dyDescent="0.3">
      <c r="A55" t="s">
        <v>195</v>
      </c>
      <c r="B55">
        <v>55</v>
      </c>
    </row>
    <row r="56" spans="1:2" x14ac:dyDescent="0.3">
      <c r="A56" t="s">
        <v>186</v>
      </c>
      <c r="B56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zoomScale="95" zoomScaleNormal="95" workbookViewId="0">
      <pane ySplit="3" topLeftCell="A43" activePane="bottomLeft" state="frozen"/>
      <selection pane="bottomLeft" activeCell="N51" sqref="N51"/>
    </sheetView>
  </sheetViews>
  <sheetFormatPr defaultRowHeight="14.4" x14ac:dyDescent="0.3"/>
  <cols>
    <col min="1" max="1" width="15.77734375" customWidth="1"/>
    <col min="2" max="2" width="19.21875" customWidth="1"/>
    <col min="3" max="3" width="14.109375" customWidth="1"/>
    <col min="4" max="4" width="27.109375" customWidth="1"/>
    <col min="5" max="5" width="22.6640625" customWidth="1"/>
    <col min="6" max="6" width="19.88671875" customWidth="1"/>
  </cols>
  <sheetData>
    <row r="1" spans="1:6" x14ac:dyDescent="0.3">
      <c r="B1" s="2" t="s">
        <v>202</v>
      </c>
      <c r="C1" s="3"/>
      <c r="D1" s="3"/>
      <c r="E1" s="3"/>
    </row>
    <row r="2" spans="1:6" x14ac:dyDescent="0.3">
      <c r="B2" s="3"/>
      <c r="C2" s="3"/>
      <c r="D2" s="3"/>
      <c r="E2" s="3"/>
    </row>
    <row r="3" spans="1:6" ht="15.6" x14ac:dyDescent="0.3">
      <c r="A3" s="1" t="s">
        <v>196</v>
      </c>
      <c r="B3" s="1" t="s">
        <v>197</v>
      </c>
      <c r="C3" s="1" t="s">
        <v>198</v>
      </c>
      <c r="D3" s="1" t="s">
        <v>199</v>
      </c>
      <c r="E3" s="1" t="s">
        <v>200</v>
      </c>
      <c r="F3" s="1" t="s">
        <v>201</v>
      </c>
    </row>
    <row r="4" spans="1:6" x14ac:dyDescent="0.3">
      <c r="A4" t="str">
        <f>('Employee Information'!A2)</f>
        <v>EMP1001</v>
      </c>
      <c r="B4" t="str">
        <f>VLOOKUP(A4,'Employee Information'!A:D,2,FALSE)</f>
        <v>Employee 1</v>
      </c>
      <c r="C4" t="str">
        <f>VLOOKUP(A4,'Employee Information'!A:C,3,FALSE)</f>
        <v>Operations</v>
      </c>
      <c r="D4">
        <f>IFERROR(VLOOKUP(A4,'Performance Records'!A:B,2,FALSE),"PENDING REVIEW")</f>
        <v>56</v>
      </c>
      <c r="E4" t="str">
        <f>IF(D4="PENDING REVIEW","PENDING REVIEW",IF(D4&gt;90,"EXCELLENT",IF(D4&gt;75,"GOOD",IF(D4&gt;60,"AVERAGE","NEEDS IMPROVEMENT"))))</f>
        <v>NEEDS IMPROVEMENT</v>
      </c>
      <c r="F4" t="str">
        <f>IF(E4="PENDING REVIEW"," PENDING REVIEW",IF(OR(E4="EXCELLENT",E4="GOOD"),"ELIGIBLE","NOT ELIGIBLE"))</f>
        <v>NOT ELIGIBLE</v>
      </c>
    </row>
    <row r="5" spans="1:6" x14ac:dyDescent="0.3">
      <c r="A5" t="str">
        <f>('Employee Information'!A3)</f>
        <v>EMP1002</v>
      </c>
      <c r="B5" t="str">
        <f>VLOOKUP(A5,'Employee Information'!A:D,2,FALSE)</f>
        <v>Employee 2</v>
      </c>
      <c r="C5" t="str">
        <f>VLOOKUP(A5,'Employee Information'!A:C,3,FALSE)</f>
        <v>Admin</v>
      </c>
      <c r="D5">
        <f>IFERROR(VLOOKUP(A5,'Performance Records'!A:B,2,FALSE),"PENDING REVIEW")</f>
        <v>88</v>
      </c>
      <c r="E5" t="str">
        <f t="shared" ref="E5:E63" si="0">IF(D5="PENDING REVIEW","PENDING REVIEW",IF(D5&gt;90,"EXCELLENT",IF(D5&gt;75,"GOOD",IF(D5&gt;60,"AVERAGE","NEEDS IMPROVEMENT"))))</f>
        <v>GOOD</v>
      </c>
      <c r="F5" t="str">
        <f t="shared" ref="F5:F62" si="1">IF(E5="PENDING REVIEW"," PENDING REVIEW",IF(OR(E5="EXCELLENT",E5="GOOD"),"ELIGIBLE","NOTELIGIBLE"))</f>
        <v>ELIGIBLE</v>
      </c>
    </row>
    <row r="6" spans="1:6" x14ac:dyDescent="0.3">
      <c r="A6" t="str">
        <f>('Employee Information'!A4)</f>
        <v>EMP1003</v>
      </c>
      <c r="B6" t="str">
        <f>VLOOKUP(A6,'Employee Information'!A:D,2,FALSE)</f>
        <v>Employee 3</v>
      </c>
      <c r="C6" t="str">
        <f>VLOOKUP(A6,'Employee Information'!A:C,3,FALSE)</f>
        <v>Finance</v>
      </c>
      <c r="D6">
        <f>IFERROR(VLOOKUP(A6,'Performance Records'!A:B,2,FALSE),"PENDING REVIEW")</f>
        <v>68</v>
      </c>
      <c r="E6" t="str">
        <f t="shared" si="0"/>
        <v>AVERAGE</v>
      </c>
      <c r="F6" t="str">
        <f>IF(E6="PENDING REVIEW"," PENDING REVIEW",IF(OR(E6="EXCELLENT",E6="GOOD"),"ELIGIBLE","NOT ELIGIBLE"))</f>
        <v>NOT ELIGIBLE</v>
      </c>
    </row>
    <row r="7" spans="1:6" x14ac:dyDescent="0.3">
      <c r="A7" t="str">
        <f>('Employee Information'!A5)</f>
        <v>EMP1004</v>
      </c>
      <c r="B7" t="str">
        <f>VLOOKUP(A7,'Employee Information'!A:D,2,FALSE)</f>
        <v>Employee 4</v>
      </c>
      <c r="C7" t="str">
        <f>VLOOKUP(A7,'Employee Information'!A:C,3,FALSE)</f>
        <v>Sales</v>
      </c>
      <c r="D7">
        <f>IFERROR(VLOOKUP(A7,'Performance Records'!A:B,2,FALSE),"PENDING REVIEW")</f>
        <v>95</v>
      </c>
      <c r="E7" t="str">
        <f t="shared" si="0"/>
        <v>EXCELLENT</v>
      </c>
      <c r="F7" t="str">
        <f t="shared" si="1"/>
        <v>ELIGIBLE</v>
      </c>
    </row>
    <row r="8" spans="1:6" x14ac:dyDescent="0.3">
      <c r="A8" t="str">
        <f>('Employee Information'!A6)</f>
        <v>EMP1005</v>
      </c>
      <c r="B8" t="str">
        <f>VLOOKUP(A8,'Employee Information'!A:D,2,FALSE)</f>
        <v>Employee 5</v>
      </c>
      <c r="C8" t="str">
        <f>VLOOKUP(A8,'Employee Information'!A:C,3,FALSE)</f>
        <v>Sales</v>
      </c>
      <c r="D8" t="str">
        <f>IFERROR(VLOOKUP(A8,'Performance Records'!A:B,2,FALSE),"PENDING REVIEW")</f>
        <v>PENDING REVIEW</v>
      </c>
      <c r="E8" t="str">
        <f t="shared" si="0"/>
        <v>PENDING REVIEW</v>
      </c>
      <c r="F8" t="str">
        <f t="shared" si="1"/>
        <v xml:space="preserve"> PENDING REVIEW</v>
      </c>
    </row>
    <row r="9" spans="1:6" x14ac:dyDescent="0.3">
      <c r="A9" t="str">
        <f>('Employee Information'!A7)</f>
        <v>EMP1006</v>
      </c>
      <c r="B9" t="str">
        <f>VLOOKUP(A9,'Employee Information'!A:D,2,FALSE)</f>
        <v>Employee 6</v>
      </c>
      <c r="C9" t="str">
        <f>VLOOKUP(A9,'Employee Information'!A:C,3,FALSE)</f>
        <v>HR</v>
      </c>
      <c r="D9">
        <f>IFERROR(VLOOKUP(A9,'Performance Records'!A:B,2,FALSE),"PENDING REVIEW")</f>
        <v>48</v>
      </c>
      <c r="E9" t="str">
        <f t="shared" si="0"/>
        <v>NEEDS IMPROVEMENT</v>
      </c>
      <c r="F9" t="str">
        <f>IF(E9="PENDING REVIEW"," PENDING REVIEW",IF(OR(E9="EXCELLENT",E9="GOOD"),"ELIGIBLE","NOT ELIGIBLE"))</f>
        <v>NOT ELIGIBLE</v>
      </c>
    </row>
    <row r="10" spans="1:6" x14ac:dyDescent="0.3">
      <c r="A10" t="str">
        <f>('Employee Information'!A8)</f>
        <v>EMP1007</v>
      </c>
      <c r="B10" t="str">
        <f>VLOOKUP(A10,'Employee Information'!A:D,2,FALSE)</f>
        <v>Employee 7</v>
      </c>
      <c r="C10" t="str">
        <f>VLOOKUP(A10,'Employee Information'!A:C,3,FALSE)</f>
        <v>Operations</v>
      </c>
      <c r="D10">
        <f>IFERROR(VLOOKUP(A10,'Performance Records'!A:B,2,FALSE),"PENDING REVIEW")</f>
        <v>89</v>
      </c>
      <c r="E10" t="str">
        <f t="shared" si="0"/>
        <v>GOOD</v>
      </c>
      <c r="F10" t="str">
        <f t="shared" si="1"/>
        <v>ELIGIBLE</v>
      </c>
    </row>
    <row r="11" spans="1:6" x14ac:dyDescent="0.3">
      <c r="A11" t="str">
        <f>('Employee Information'!A9)</f>
        <v>EMP1008</v>
      </c>
      <c r="B11" t="str">
        <f>VLOOKUP(A11,'Employee Information'!A:D,2,FALSE)</f>
        <v>Employee 8</v>
      </c>
      <c r="C11" t="str">
        <f>VLOOKUP(A11,'Employee Information'!A:C,3,FALSE)</f>
        <v>IT</v>
      </c>
      <c r="D11" t="str">
        <f>IFERROR(VLOOKUP(A11,'Performance Records'!A:B,2,FALSE),"PENDING REVIEW")</f>
        <v>PENDING REVIEW</v>
      </c>
      <c r="E11" t="str">
        <f t="shared" si="0"/>
        <v>PENDING REVIEW</v>
      </c>
      <c r="F11" t="str">
        <f t="shared" si="1"/>
        <v xml:space="preserve"> PENDING REVIEW</v>
      </c>
    </row>
    <row r="12" spans="1:6" x14ac:dyDescent="0.3">
      <c r="A12" t="str">
        <f>('Employee Information'!A10)</f>
        <v>EMP1009</v>
      </c>
      <c r="B12" t="str">
        <f>VLOOKUP(A12,'Employee Information'!A:D,2,FALSE)</f>
        <v>Employee 9</v>
      </c>
      <c r="C12" t="str">
        <f>VLOOKUP(A12,'Employee Information'!A:C,3,FALSE)</f>
        <v>Operations</v>
      </c>
      <c r="D12">
        <f>IFERROR(VLOOKUP(A12,'Performance Records'!A:B,2,FALSE),"PENDING REVIEW")</f>
        <v>84</v>
      </c>
      <c r="E12" t="str">
        <f t="shared" si="0"/>
        <v>GOOD</v>
      </c>
      <c r="F12" t="str">
        <f t="shared" si="1"/>
        <v>ELIGIBLE</v>
      </c>
    </row>
    <row r="13" spans="1:6" x14ac:dyDescent="0.3">
      <c r="A13" t="str">
        <f>('Employee Information'!A11)</f>
        <v>EMP1010</v>
      </c>
      <c r="B13" t="str">
        <f>VLOOKUP(A13,'Employee Information'!A:D,2,FALSE)</f>
        <v>Employee 10</v>
      </c>
      <c r="C13" t="str">
        <f>VLOOKUP(A13,'Employee Information'!A:C,3,FALSE)</f>
        <v>Sales</v>
      </c>
      <c r="D13">
        <f>IFERROR(VLOOKUP(A13,'Performance Records'!A:B,2,FALSE),"PENDING REVIEW")</f>
        <v>63</v>
      </c>
      <c r="E13" t="str">
        <f t="shared" si="0"/>
        <v>AVERAGE</v>
      </c>
      <c r="F13" t="str">
        <f>IF(E13="PENDING REVIEW"," PENDING REVIEW",IF(OR(E13="EXCELLENT",E13="GOOD"),"ELIGIBLE","NOT ELIGIBLE"))</f>
        <v>NOT ELIGIBLE</v>
      </c>
    </row>
    <row r="14" spans="1:6" x14ac:dyDescent="0.3">
      <c r="A14" t="str">
        <f>('Employee Information'!A12)</f>
        <v>EMP1011</v>
      </c>
      <c r="B14" t="str">
        <f>VLOOKUP(A14,'Employee Information'!A:D,2,FALSE)</f>
        <v>Employee 11</v>
      </c>
      <c r="C14" t="str">
        <f>VLOOKUP(A14,'Employee Information'!A:C,3,FALSE)</f>
        <v>Sales</v>
      </c>
      <c r="D14">
        <f>IFERROR(VLOOKUP(A14,'Performance Records'!A:B,2,FALSE),"PENDING REVIEW")</f>
        <v>81</v>
      </c>
      <c r="E14" t="str">
        <f t="shared" si="0"/>
        <v>GOOD</v>
      </c>
      <c r="F14" t="str">
        <f t="shared" si="1"/>
        <v>ELIGIBLE</v>
      </c>
    </row>
    <row r="15" spans="1:6" x14ac:dyDescent="0.3">
      <c r="A15" t="str">
        <f>('Employee Information'!A13)</f>
        <v>EMP1012</v>
      </c>
      <c r="B15" t="str">
        <f>VLOOKUP(A15,'Employee Information'!A:D,2,FALSE)</f>
        <v>Employee 12</v>
      </c>
      <c r="C15" t="str">
        <f>VLOOKUP(A15,'Employee Information'!A:C,3,FALSE)</f>
        <v>IT</v>
      </c>
      <c r="D15">
        <f>IFERROR(VLOOKUP(A15,'Performance Records'!A:B,2,FALSE),"PENDING REVIEW")</f>
        <v>81</v>
      </c>
      <c r="E15" t="str">
        <f t="shared" si="0"/>
        <v>GOOD</v>
      </c>
      <c r="F15" t="str">
        <f t="shared" si="1"/>
        <v>ELIGIBLE</v>
      </c>
    </row>
    <row r="16" spans="1:6" x14ac:dyDescent="0.3">
      <c r="A16" t="str">
        <f>('Employee Information'!A14)</f>
        <v>EMP1013</v>
      </c>
      <c r="B16" t="str">
        <f>VLOOKUP(A16,'Employee Information'!A:D,2,FALSE)</f>
        <v>Employee 13</v>
      </c>
      <c r="C16" t="str">
        <f>VLOOKUP(A16,'Employee Information'!A:C,3,FALSE)</f>
        <v>Finance</v>
      </c>
      <c r="D16">
        <f>IFERROR(VLOOKUP(A16,'Performance Records'!A:B,2,FALSE),"PENDING REVIEW")</f>
        <v>74</v>
      </c>
      <c r="E16" t="str">
        <f t="shared" si="0"/>
        <v>AVERAGE</v>
      </c>
      <c r="F16" t="str">
        <f>IF(E16="PENDING REVIEW"," PENDING REVIEW",IF(OR(E16="EXCELLENT",E16="GOOD"),"ELIGIBLE","NOT ELIGIBLE"))</f>
        <v>NOT ELIGIBLE</v>
      </c>
    </row>
    <row r="17" spans="1:6" x14ac:dyDescent="0.3">
      <c r="A17" t="str">
        <f>('Employee Information'!A15)</f>
        <v>EMP1014</v>
      </c>
      <c r="B17" t="str">
        <f>VLOOKUP(A17,'Employee Information'!A:D,2,FALSE)</f>
        <v>Employee 14</v>
      </c>
      <c r="C17" t="str">
        <f>VLOOKUP(A17,'Employee Information'!A:C,3,FALSE)</f>
        <v>IT</v>
      </c>
      <c r="D17">
        <f>IFERROR(VLOOKUP(A17,'Performance Records'!A:B,2,FALSE),"PENDING REVIEW")</f>
        <v>83</v>
      </c>
      <c r="E17" t="str">
        <f t="shared" si="0"/>
        <v>GOOD</v>
      </c>
      <c r="F17" t="str">
        <f t="shared" si="1"/>
        <v>ELIGIBLE</v>
      </c>
    </row>
    <row r="18" spans="1:6" x14ac:dyDescent="0.3">
      <c r="A18" t="str">
        <f>('Employee Information'!A16)</f>
        <v>EMP1015</v>
      </c>
      <c r="B18" t="str">
        <f>VLOOKUP(A18,'Employee Information'!A:D,2,FALSE)</f>
        <v>Employee 15</v>
      </c>
      <c r="C18" t="str">
        <f>VLOOKUP(A18,'Employee Information'!A:C,3,FALSE)</f>
        <v>Sales</v>
      </c>
      <c r="D18">
        <f>IFERROR(VLOOKUP(A18,'Performance Records'!A:B,2,FALSE),"PENDING REVIEW")</f>
        <v>85</v>
      </c>
      <c r="E18" t="str">
        <f t="shared" si="0"/>
        <v>GOOD</v>
      </c>
      <c r="F18" t="str">
        <f t="shared" si="1"/>
        <v>ELIGIBLE</v>
      </c>
    </row>
    <row r="19" spans="1:6" x14ac:dyDescent="0.3">
      <c r="A19" t="str">
        <f>('Employee Information'!A17)</f>
        <v>EMP1016</v>
      </c>
      <c r="B19" t="str">
        <f>VLOOKUP(A19,'Employee Information'!A:D,2,FALSE)</f>
        <v>Employee 16</v>
      </c>
      <c r="C19" t="str">
        <f>VLOOKUP(A19,'Employee Information'!A:C,3,FALSE)</f>
        <v>Finance</v>
      </c>
      <c r="D19">
        <f>IFERROR(VLOOKUP(A19,'Performance Records'!A:B,2,FALSE),"PENDING REVIEW")</f>
        <v>52</v>
      </c>
      <c r="E19" t="str">
        <f t="shared" si="0"/>
        <v>NEEDS IMPROVEMENT</v>
      </c>
      <c r="F19" t="str">
        <f>IF(E19="PENDING REVIEW"," PENDING REVIEW",IF(OR(E19="EXCELLENT",E19="GOOD"),"ELIGIBLE","NOT ELIGIBLE"))</f>
        <v>NOT ELIGIBLE</v>
      </c>
    </row>
    <row r="20" spans="1:6" x14ac:dyDescent="0.3">
      <c r="A20" t="str">
        <f>('Employee Information'!A18)</f>
        <v>EMP1017</v>
      </c>
      <c r="B20" t="str">
        <f>VLOOKUP(A20,'Employee Information'!A:D,2,FALSE)</f>
        <v>Employee 17</v>
      </c>
      <c r="C20" t="str">
        <f>VLOOKUP(A20,'Employee Information'!A:C,3,FALSE)</f>
        <v>Procurement</v>
      </c>
      <c r="D20">
        <f>IFERROR(VLOOKUP(A20,'Performance Records'!A:B,2,FALSE),"PENDING REVIEW")</f>
        <v>90</v>
      </c>
      <c r="E20" t="str">
        <f t="shared" si="0"/>
        <v>GOOD</v>
      </c>
      <c r="F20" t="str">
        <f t="shared" si="1"/>
        <v>ELIGIBLE</v>
      </c>
    </row>
    <row r="21" spans="1:6" x14ac:dyDescent="0.3">
      <c r="A21" t="str">
        <f>('Employee Information'!A19)</f>
        <v xml:space="preserve">EMP1018 </v>
      </c>
      <c r="B21" t="str">
        <f>VLOOKUP(A21,'Employee Information'!A:D,2,FALSE)</f>
        <v>Employee 18</v>
      </c>
      <c r="C21" t="str">
        <f>VLOOKUP(A21,'Employee Information'!A:C,3,FALSE)</f>
        <v>Operations</v>
      </c>
      <c r="D21" t="str">
        <f>IFERROR(VLOOKUP(A21,'Performance Records'!A:B,2,FALSE),"PENDING REVIEW")</f>
        <v>PENDING REVIEW</v>
      </c>
      <c r="E21" t="str">
        <f t="shared" si="0"/>
        <v>PENDING REVIEW</v>
      </c>
      <c r="F21" t="str">
        <f t="shared" si="1"/>
        <v xml:space="preserve"> PENDING REVIEW</v>
      </c>
    </row>
    <row r="22" spans="1:6" x14ac:dyDescent="0.3">
      <c r="A22" t="str">
        <f>('Employee Information'!A20)</f>
        <v>EMP1019</v>
      </c>
      <c r="B22" t="str">
        <f>VLOOKUP(A22,'Employee Information'!A:D,2,FALSE)</f>
        <v>Employee 19</v>
      </c>
      <c r="C22" t="str">
        <f>VLOOKUP(A22,'Employee Information'!A:C,3,FALSE)</f>
        <v>Finance</v>
      </c>
      <c r="D22" t="str">
        <f>IFERROR(VLOOKUP(A22,'Performance Records'!A:B,2,FALSE),"PENDING REVIEW")</f>
        <v>PENDING REVIEW</v>
      </c>
      <c r="E22" t="str">
        <f t="shared" si="0"/>
        <v>PENDING REVIEW</v>
      </c>
      <c r="F22" t="str">
        <f t="shared" si="1"/>
        <v xml:space="preserve"> PENDING REVIEW</v>
      </c>
    </row>
    <row r="23" spans="1:6" x14ac:dyDescent="0.3">
      <c r="A23" t="str">
        <f>('Employee Information'!A21)</f>
        <v>EMP1020</v>
      </c>
      <c r="B23" t="str">
        <f>VLOOKUP(A23,'Employee Information'!A:D,2,FALSE)</f>
        <v>Employee 20</v>
      </c>
      <c r="C23" t="str">
        <f>VLOOKUP(A23,'Employee Information'!A:C,3,FALSE)</f>
        <v>Admin</v>
      </c>
      <c r="D23">
        <f>IFERROR(VLOOKUP(A23,'Performance Records'!A:B,2,FALSE),"PENDING REVIEW")</f>
        <v>65</v>
      </c>
      <c r="E23" t="str">
        <f t="shared" si="0"/>
        <v>AVERAGE</v>
      </c>
      <c r="F23" t="str">
        <f>IF(E23="PENDING REVIEW"," PENDING REVIEW",IF(OR(E23="EXCELLENT",E23="GOOD"),"ELIGIBLE","NOT ELIGIBLE"))</f>
        <v>NOT ELIGIBLE</v>
      </c>
    </row>
    <row r="24" spans="1:6" x14ac:dyDescent="0.3">
      <c r="A24" t="str">
        <f>('Employee Information'!A22)</f>
        <v>EMP1021</v>
      </c>
      <c r="B24" t="str">
        <f>VLOOKUP(A24,'Employee Information'!A:D,2,FALSE)</f>
        <v>Employee 21</v>
      </c>
      <c r="C24" t="str">
        <f>VLOOKUP(A24,'Employee Information'!A:C,3,FALSE)</f>
        <v>Sales</v>
      </c>
      <c r="D24">
        <f>IFERROR(VLOOKUP(A24,'Performance Records'!A:B,2,FALSE),"PENDING REVIEW")</f>
        <v>93</v>
      </c>
      <c r="E24" t="str">
        <f t="shared" si="0"/>
        <v>EXCELLENT</v>
      </c>
      <c r="F24" t="str">
        <f t="shared" si="1"/>
        <v>ELIGIBLE</v>
      </c>
    </row>
    <row r="25" spans="1:6" x14ac:dyDescent="0.3">
      <c r="A25" t="str">
        <f>('Employee Information'!A23)</f>
        <v>EMP1022</v>
      </c>
      <c r="B25" t="str">
        <f>VLOOKUP(A25,'Employee Information'!A:D,2,FALSE)</f>
        <v>Employee 22</v>
      </c>
      <c r="C25" t="str">
        <f>VLOOKUP(A25,'Employee Information'!A:C,3,FALSE)</f>
        <v>Operations</v>
      </c>
      <c r="D25">
        <f>IFERROR(VLOOKUP(A25,'Performance Records'!A:B,2,FALSE),"PENDING REVIEW")</f>
        <v>98</v>
      </c>
      <c r="E25" t="str">
        <f t="shared" si="0"/>
        <v>EXCELLENT</v>
      </c>
      <c r="F25" t="str">
        <f t="shared" si="1"/>
        <v>ELIGIBLE</v>
      </c>
    </row>
    <row r="26" spans="1:6" x14ac:dyDescent="0.3">
      <c r="A26" t="str">
        <f>('Employee Information'!A24)</f>
        <v>EMP1023</v>
      </c>
      <c r="B26" t="str">
        <f>VLOOKUP(A26,'Employee Information'!A:D,2,FALSE)</f>
        <v>Employee 23</v>
      </c>
      <c r="C26" t="str">
        <f>VLOOKUP(A26,'Employee Information'!A:C,3,FALSE)</f>
        <v>HR</v>
      </c>
      <c r="D26">
        <f>IFERROR(VLOOKUP(A26,'Performance Records'!A:B,2,FALSE),"PENDING REVIEW")</f>
        <v>88</v>
      </c>
      <c r="E26" t="str">
        <f t="shared" si="0"/>
        <v>GOOD</v>
      </c>
      <c r="F26" t="str">
        <f t="shared" si="1"/>
        <v>ELIGIBLE</v>
      </c>
    </row>
    <row r="27" spans="1:6" x14ac:dyDescent="0.3">
      <c r="A27" t="str">
        <f>('Employee Information'!A25)</f>
        <v>EMP1024</v>
      </c>
      <c r="B27" t="str">
        <f>VLOOKUP(A27,'Employee Information'!A:D,2,FALSE)</f>
        <v>Employee 24</v>
      </c>
      <c r="C27" t="str">
        <f>VLOOKUP(A27,'Employee Information'!A:C,3,FALSE)</f>
        <v>Sales</v>
      </c>
      <c r="D27">
        <f>IFERROR(VLOOKUP(A27,'Performance Records'!A:B,2,FALSE),"PENDING REVIEW")</f>
        <v>88</v>
      </c>
      <c r="E27" t="str">
        <f t="shared" si="0"/>
        <v>GOOD</v>
      </c>
      <c r="F27" t="str">
        <f t="shared" si="1"/>
        <v>ELIGIBLE</v>
      </c>
    </row>
    <row r="28" spans="1:6" x14ac:dyDescent="0.3">
      <c r="A28" t="str">
        <f>('Employee Information'!A26)</f>
        <v>EMP1025</v>
      </c>
      <c r="B28" t="str">
        <f>VLOOKUP(A28,'Employee Information'!A:D,2,FALSE)</f>
        <v>Employee 25</v>
      </c>
      <c r="C28" t="str">
        <f>VLOOKUP(A28,'Employee Information'!A:C,3,FALSE)</f>
        <v>IT</v>
      </c>
      <c r="D28">
        <f>IFERROR(VLOOKUP(A28,'Performance Records'!A:B,2,FALSE),"PENDING REVIEW")</f>
        <v>90</v>
      </c>
      <c r="E28" t="str">
        <f t="shared" si="0"/>
        <v>GOOD</v>
      </c>
      <c r="F28" t="str">
        <f t="shared" si="1"/>
        <v>ELIGIBLE</v>
      </c>
    </row>
    <row r="29" spans="1:6" x14ac:dyDescent="0.3">
      <c r="A29" t="str">
        <f>('Employee Information'!A27)</f>
        <v>EMP1026</v>
      </c>
      <c r="B29" t="str">
        <f>VLOOKUP(A29,'Employee Information'!A:D,2,FALSE)</f>
        <v>Employee 26</v>
      </c>
      <c r="C29" t="str">
        <f>VLOOKUP(A29,'Employee Information'!A:C,3,FALSE)</f>
        <v>Finance</v>
      </c>
      <c r="D29">
        <f>IFERROR(VLOOKUP(A29,'Performance Records'!A:B,2,FALSE),"PENDING REVIEW")</f>
        <v>68</v>
      </c>
      <c r="E29" t="str">
        <f t="shared" si="0"/>
        <v>AVERAGE</v>
      </c>
      <c r="F29" t="str">
        <f>IF(E29="PENDING REVIEW"," PENDING REVIEW",IF(OR(E29="EXCELLENT",E29="GOOD"),"ELIGIBLE","NOT ELIGIBLE"))</f>
        <v>NOT ELIGIBLE</v>
      </c>
    </row>
    <row r="30" spans="1:6" x14ac:dyDescent="0.3">
      <c r="A30" t="str">
        <f>('Employee Information'!A28)</f>
        <v>EMP1027</v>
      </c>
      <c r="B30" t="str">
        <f>VLOOKUP(A30,'Employee Information'!A:D,2,FALSE)</f>
        <v>Employee 27</v>
      </c>
      <c r="C30" t="str">
        <f>VLOOKUP(A30,'Employee Information'!A:C,3,FALSE)</f>
        <v>Admin</v>
      </c>
      <c r="D30">
        <f>IFERROR(VLOOKUP(A30,'Performance Records'!A:B,2,FALSE),"PENDING REVIEW")</f>
        <v>85</v>
      </c>
      <c r="E30" t="str">
        <f t="shared" si="0"/>
        <v>GOOD</v>
      </c>
      <c r="F30" t="str">
        <f t="shared" si="1"/>
        <v>ELIGIBLE</v>
      </c>
    </row>
    <row r="31" spans="1:6" x14ac:dyDescent="0.3">
      <c r="A31" t="str">
        <f>('Employee Information'!A29)</f>
        <v>EMP1028</v>
      </c>
      <c r="B31" t="str">
        <f>VLOOKUP(A31,'Employee Information'!A:D,2,FALSE)</f>
        <v>Employee 28</v>
      </c>
      <c r="C31" t="str">
        <f>VLOOKUP(A31,'Employee Information'!A:C,3,FALSE)</f>
        <v>Procurement</v>
      </c>
      <c r="D31">
        <f>IFERROR(VLOOKUP(A31,'Performance Records'!A:B,2,FALSE),"PENDING REVIEW")</f>
        <v>57</v>
      </c>
      <c r="E31" t="str">
        <f t="shared" si="0"/>
        <v>NEEDS IMPROVEMENT</v>
      </c>
      <c r="F31" t="str">
        <f>IF(E31="PENDING REVIEW"," PENDING REVIEW",IF(OR(E31="EXCELLENT",E31="GOOD"),"ELIGIBLE","NOT ELIGIBLE"))</f>
        <v>NOT ELIGIBLE</v>
      </c>
    </row>
    <row r="32" spans="1:6" x14ac:dyDescent="0.3">
      <c r="A32" t="str">
        <f>('Employee Information'!A30)</f>
        <v>EMP1029</v>
      </c>
      <c r="B32" t="str">
        <f>VLOOKUP(A32,'Employee Information'!A:D,2,FALSE)</f>
        <v>Employee 29</v>
      </c>
      <c r="C32" t="str">
        <f>VLOOKUP(A32,'Employee Information'!A:C,3,FALSE)</f>
        <v>Admin</v>
      </c>
      <c r="D32">
        <f>IFERROR(VLOOKUP(A32,'Performance Records'!A:B,2,FALSE),"PENDING REVIEW")</f>
        <v>56</v>
      </c>
      <c r="E32" t="str">
        <f t="shared" si="0"/>
        <v>NEEDS IMPROVEMENT</v>
      </c>
      <c r="F32" t="str">
        <f>IF(E32="PENDING REVIEW"," PENDING REVIEW",IF(OR(E32="EXCELLENT",E32="GOOD"),"ELIGIBLE","NOT ELIGIBLE"))</f>
        <v>NOT ELIGIBLE</v>
      </c>
    </row>
    <row r="33" spans="1:6" x14ac:dyDescent="0.3">
      <c r="A33" t="str">
        <f>('Employee Information'!A31)</f>
        <v>EMP1030</v>
      </c>
      <c r="B33" t="str">
        <f>VLOOKUP(A33,'Employee Information'!A:D,2,FALSE)</f>
        <v>Employee 30</v>
      </c>
      <c r="C33" t="str">
        <f>VLOOKUP(A33,'Employee Information'!A:C,3,FALSE)</f>
        <v>IT</v>
      </c>
      <c r="D33">
        <f>IFERROR(VLOOKUP(A33,'Performance Records'!A:B,2,FALSE),"PENDING REVIEW")</f>
        <v>52</v>
      </c>
      <c r="E33" t="str">
        <f t="shared" si="0"/>
        <v>NEEDS IMPROVEMENT</v>
      </c>
      <c r="F33" t="str">
        <f>IF(E33="PENDING REVIEW"," PENDING REVIEW",IF(OR(E33="EXCELLENT",E33="GOOD"),"ELIGIBLE","NOT ELIGIBLE"))</f>
        <v>NOT ELIGIBLE</v>
      </c>
    </row>
    <row r="34" spans="1:6" x14ac:dyDescent="0.3">
      <c r="A34" t="str">
        <f>('Employee Information'!A32)</f>
        <v>EMP1031</v>
      </c>
      <c r="B34" t="str">
        <f>VLOOKUP(A34,'Employee Information'!A:D,2,FALSE)</f>
        <v>Employee 31</v>
      </c>
      <c r="C34" t="str">
        <f>VLOOKUP(A34,'Employee Information'!A:C,3,FALSE)</f>
        <v>Sales</v>
      </c>
      <c r="D34">
        <f>IFERROR(VLOOKUP(A34,'Performance Records'!A:B,2,FALSE),"PENDING REVIEW")</f>
        <v>50</v>
      </c>
      <c r="E34" t="str">
        <f t="shared" si="0"/>
        <v>NEEDS IMPROVEMENT</v>
      </c>
      <c r="F34" t="str">
        <f>IF(E34="PENDING REVIEW"," PENDING REVIEW",IF(OR(E34="EXCELLENT",E34="GOOD"),"ELIGIBLE","NOT ELIGIBLE"))</f>
        <v>NOT ELIGIBLE</v>
      </c>
    </row>
    <row r="35" spans="1:6" x14ac:dyDescent="0.3">
      <c r="A35" t="str">
        <f>('Employee Information'!A33)</f>
        <v>EMP1032</v>
      </c>
      <c r="B35" t="str">
        <f>VLOOKUP(A35,'Employee Information'!A:D,2,FALSE)</f>
        <v>Employee 32</v>
      </c>
      <c r="C35" t="str">
        <f>VLOOKUP(A35,'Employee Information'!A:C,3,FALSE)</f>
        <v>Admin</v>
      </c>
      <c r="D35">
        <f>IFERROR(VLOOKUP(A35,'Performance Records'!A:B,2,FALSE),"PENDING REVIEW")</f>
        <v>92</v>
      </c>
      <c r="E35" t="str">
        <f t="shared" si="0"/>
        <v>EXCELLENT</v>
      </c>
      <c r="F35" t="str">
        <f t="shared" si="1"/>
        <v>ELIGIBLE</v>
      </c>
    </row>
    <row r="36" spans="1:6" x14ac:dyDescent="0.3">
      <c r="A36" t="str">
        <f>('Employee Information'!A34)</f>
        <v>EMP1033</v>
      </c>
      <c r="B36" t="str">
        <f>VLOOKUP(A36,'Employee Information'!A:D,2,FALSE)</f>
        <v>Employee 33</v>
      </c>
      <c r="C36" t="str">
        <f>VLOOKUP(A36,'Employee Information'!A:C,3,FALSE)</f>
        <v>Admin</v>
      </c>
      <c r="D36" t="str">
        <f>IFERROR(VLOOKUP(A36,'Performance Records'!A:B,2,FALSE),"PENDING REVIEW")</f>
        <v>PENDING REVIEW</v>
      </c>
      <c r="E36" t="str">
        <f t="shared" si="0"/>
        <v>PENDING REVIEW</v>
      </c>
      <c r="F36" t="str">
        <f t="shared" si="1"/>
        <v xml:space="preserve"> PENDING REVIEW</v>
      </c>
    </row>
    <row r="37" spans="1:6" x14ac:dyDescent="0.3">
      <c r="A37" t="str">
        <f>('Employee Information'!A35)</f>
        <v>EMP1034</v>
      </c>
      <c r="B37" t="str">
        <f>VLOOKUP(A37,'Employee Information'!A:D,2,FALSE)</f>
        <v>Employee 34</v>
      </c>
      <c r="C37" t="str">
        <f>VLOOKUP(A37,'Employee Information'!A:C,3,FALSE)</f>
        <v>Operations</v>
      </c>
      <c r="D37">
        <f>IFERROR(VLOOKUP(A37,'Performance Records'!A:B,2,FALSE),"PENDING REVIEW")</f>
        <v>78</v>
      </c>
      <c r="E37" t="str">
        <f t="shared" si="0"/>
        <v>GOOD</v>
      </c>
      <c r="F37" t="str">
        <f t="shared" si="1"/>
        <v>ELIGIBLE</v>
      </c>
    </row>
    <row r="38" spans="1:6" x14ac:dyDescent="0.3">
      <c r="A38" t="str">
        <f>('Employee Information'!A36)</f>
        <v>EMP1035</v>
      </c>
      <c r="B38" t="str">
        <f>VLOOKUP(A38,'Employee Information'!A:D,2,FALSE)</f>
        <v>Employee 35</v>
      </c>
      <c r="C38" t="str">
        <f>VLOOKUP(A38,'Employee Information'!A:C,3,FALSE)</f>
        <v>Operations</v>
      </c>
      <c r="D38">
        <f>IFERROR(VLOOKUP(A38,'Performance Records'!A:B,2,FALSE),"PENDING REVIEW")</f>
        <v>55</v>
      </c>
      <c r="E38" t="str">
        <f t="shared" si="0"/>
        <v>NEEDS IMPROVEMENT</v>
      </c>
      <c r="F38" t="str">
        <f>IF(E38="PENDING REVIEW"," PENDING REVIEW",IF(OR(E38="EXCELLENT",E38="GOOD"),"ELIGIBLE","NOT ELIGIBLE"))</f>
        <v>NOT ELIGIBLE</v>
      </c>
    </row>
    <row r="39" spans="1:6" x14ac:dyDescent="0.3">
      <c r="A39" t="str">
        <f>('Employee Information'!A37)</f>
        <v xml:space="preserve">EMP1036 </v>
      </c>
      <c r="B39" t="str">
        <f>VLOOKUP(A39,'Employee Information'!A:D,2,FALSE)</f>
        <v>Employee 36</v>
      </c>
      <c r="C39" t="str">
        <f>VLOOKUP(A39,'Employee Information'!A:C,3,FALSE)</f>
        <v>Admin</v>
      </c>
      <c r="D39" t="str">
        <f>IFERROR(VLOOKUP(A39,'Performance Records'!A:B,2,FALSE),"PENDING REVIEW")</f>
        <v>PENDING REVIEW</v>
      </c>
      <c r="E39" t="str">
        <f t="shared" si="0"/>
        <v>PENDING REVIEW</v>
      </c>
      <c r="F39" t="str">
        <f t="shared" si="1"/>
        <v xml:space="preserve"> PENDING REVIEW</v>
      </c>
    </row>
    <row r="40" spans="1:6" x14ac:dyDescent="0.3">
      <c r="A40" t="str">
        <f>('Employee Information'!A38)</f>
        <v>EMP1037</v>
      </c>
      <c r="B40" t="str">
        <f>VLOOKUP(A40,'Employee Information'!A:D,2,FALSE)</f>
        <v>Employee 37</v>
      </c>
      <c r="C40" t="str">
        <f>VLOOKUP(A40,'Employee Information'!A:C,3,FALSE)</f>
        <v>IT</v>
      </c>
      <c r="D40">
        <f>IFERROR(VLOOKUP(A40,'Performance Records'!A:B,2,FALSE),"PENDING REVIEW")</f>
        <v>65</v>
      </c>
      <c r="E40" t="str">
        <f t="shared" si="0"/>
        <v>AVERAGE</v>
      </c>
      <c r="F40" t="str">
        <f>IF(E40="PENDING REVIEW"," PENDING REVIEW",IF(OR(E40="EXCELLENT",E40="GOOD"),"ELIGIBLE","NOT ELIGIBLE"))</f>
        <v>NOT ELIGIBLE</v>
      </c>
    </row>
    <row r="41" spans="1:6" x14ac:dyDescent="0.3">
      <c r="A41" t="str">
        <f>('Employee Information'!A39)</f>
        <v>EMP1038</v>
      </c>
      <c r="B41" t="str">
        <f>VLOOKUP(A41,'Employee Information'!A:D,2,FALSE)</f>
        <v>Employee 38</v>
      </c>
      <c r="C41" t="str">
        <f>VLOOKUP(A41,'Employee Information'!A:C,3,FALSE)</f>
        <v>Admin</v>
      </c>
      <c r="D41">
        <f>IFERROR(VLOOKUP(A41,'Performance Records'!A:B,2,FALSE),"PENDING REVIEW")</f>
        <v>98</v>
      </c>
      <c r="E41" t="str">
        <f t="shared" si="0"/>
        <v>EXCELLENT</v>
      </c>
      <c r="F41" t="str">
        <f t="shared" si="1"/>
        <v>ELIGIBLE</v>
      </c>
    </row>
    <row r="42" spans="1:6" x14ac:dyDescent="0.3">
      <c r="A42" t="str">
        <f>('Employee Information'!A40)</f>
        <v>EMP1039</v>
      </c>
      <c r="B42" t="str">
        <f>VLOOKUP(A42,'Employee Information'!A:D,2,FALSE)</f>
        <v>Employee 39</v>
      </c>
      <c r="C42" t="str">
        <f>VLOOKUP(A42,'Employee Information'!A:C,3,FALSE)</f>
        <v>IT</v>
      </c>
      <c r="D42">
        <f>IFERROR(VLOOKUP(A42,'Performance Records'!A:B,2,FALSE),"PENDING REVIEW")</f>
        <v>99</v>
      </c>
      <c r="E42" t="str">
        <f t="shared" si="0"/>
        <v>EXCELLENT</v>
      </c>
      <c r="F42" t="str">
        <f t="shared" si="1"/>
        <v>ELIGIBLE</v>
      </c>
    </row>
    <row r="43" spans="1:6" x14ac:dyDescent="0.3">
      <c r="A43" t="str">
        <f>('Employee Information'!A41)</f>
        <v>EMP1040</v>
      </c>
      <c r="B43" t="str">
        <f>VLOOKUP(A43,'Employee Information'!A:D,2,FALSE)</f>
        <v>Employee 40</v>
      </c>
      <c r="C43" t="str">
        <f>VLOOKUP(A43,'Employee Information'!A:C,3,FALSE)</f>
        <v>Finance</v>
      </c>
      <c r="D43">
        <f>IFERROR(VLOOKUP(A43,'Performance Records'!A:B,2,FALSE),"PENDING REVIEW")</f>
        <v>53</v>
      </c>
      <c r="E43" t="str">
        <f t="shared" si="0"/>
        <v>NEEDS IMPROVEMENT</v>
      </c>
      <c r="F43" t="str">
        <f>IF(E43="PENDING REVIEW"," PENDING REVIEW",IF(OR(E43="EXCELLENT",E43="GOOD"),"ELIGIBLE","NOT ELIGIBLE"))</f>
        <v>NOT ELIGIBLE</v>
      </c>
    </row>
    <row r="44" spans="1:6" x14ac:dyDescent="0.3">
      <c r="A44" t="str">
        <f>('Employee Information'!A42)</f>
        <v>EMP1041</v>
      </c>
      <c r="B44" t="str">
        <f>VLOOKUP(A44,'Employee Information'!A:D,2,FALSE)</f>
        <v>Employee 41</v>
      </c>
      <c r="C44" t="str">
        <f>VLOOKUP(A44,'Employee Information'!A:C,3,FALSE)</f>
        <v>Sales</v>
      </c>
      <c r="D44">
        <f>IFERROR(VLOOKUP(A44,'Performance Records'!A:B,2,FALSE),"PENDING REVIEW")</f>
        <v>80</v>
      </c>
      <c r="E44" t="str">
        <f t="shared" si="0"/>
        <v>GOOD</v>
      </c>
      <c r="F44" t="str">
        <f t="shared" si="1"/>
        <v>ELIGIBLE</v>
      </c>
    </row>
    <row r="45" spans="1:6" x14ac:dyDescent="0.3">
      <c r="A45" t="str">
        <f>('Employee Information'!A43)</f>
        <v xml:space="preserve">EMP1042 </v>
      </c>
      <c r="B45" t="str">
        <f>VLOOKUP(A45,'Employee Information'!A:D,2,FALSE)</f>
        <v>Employee 42</v>
      </c>
      <c r="C45" t="str">
        <f>VLOOKUP(A45,'Employee Information'!A:C,3,FALSE)</f>
        <v>Procurement</v>
      </c>
      <c r="D45" t="str">
        <f>IFERROR(VLOOKUP(A45,'Performance Records'!A:B,2,FALSE),"PENDING REVIEW")</f>
        <v>PENDING REVIEW</v>
      </c>
      <c r="E45" t="str">
        <f t="shared" si="0"/>
        <v>PENDING REVIEW</v>
      </c>
      <c r="F45" t="str">
        <f t="shared" si="1"/>
        <v xml:space="preserve"> PENDING REVIEW</v>
      </c>
    </row>
    <row r="46" spans="1:6" x14ac:dyDescent="0.3">
      <c r="A46" t="str">
        <f>('Employee Information'!A44)</f>
        <v>EMP1043</v>
      </c>
      <c r="B46" t="str">
        <f>VLOOKUP(A46,'Employee Information'!A:D,2,FALSE)</f>
        <v>Employee 43</v>
      </c>
      <c r="C46" t="str">
        <f>VLOOKUP(A46,'Employee Information'!A:C,3,FALSE)</f>
        <v>Sales</v>
      </c>
      <c r="D46">
        <f>IFERROR(VLOOKUP(A46,'Performance Records'!A:B,2,FALSE),"PENDING REVIEW")</f>
        <v>80</v>
      </c>
      <c r="E46" t="str">
        <f t="shared" si="0"/>
        <v>GOOD</v>
      </c>
      <c r="F46" t="str">
        <f t="shared" si="1"/>
        <v>ELIGIBLE</v>
      </c>
    </row>
    <row r="47" spans="1:6" x14ac:dyDescent="0.3">
      <c r="A47" t="str">
        <f>('Employee Information'!A45)</f>
        <v>EMP1044</v>
      </c>
      <c r="B47" t="str">
        <f>VLOOKUP(A47,'Employee Information'!A:D,2,FALSE)</f>
        <v>Employee 44</v>
      </c>
      <c r="C47" t="str">
        <f>VLOOKUP(A47,'Employee Information'!A:C,3,FALSE)</f>
        <v>Procurement</v>
      </c>
      <c r="D47">
        <f>IFERROR(VLOOKUP(A47,'Performance Records'!A:B,2,FALSE),"PENDING REVIEW")</f>
        <v>59</v>
      </c>
      <c r="E47" t="str">
        <f t="shared" si="0"/>
        <v>NEEDS IMPROVEMENT</v>
      </c>
      <c r="F47" t="str">
        <f>IF(E47="PENDING REVIEW"," PENDING REVIEW",IF(OR(E47="EXCELLENT",E47="GOOD"),"ELIGIBLE","NOT ELIGIBLE"))</f>
        <v>NOT ELIGIBLE</v>
      </c>
    </row>
    <row r="48" spans="1:6" x14ac:dyDescent="0.3">
      <c r="A48" t="str">
        <f>('Employee Information'!A46)</f>
        <v>EMP1045</v>
      </c>
      <c r="B48" t="str">
        <f>VLOOKUP(A48,'Employee Information'!A:D,2,FALSE)</f>
        <v>Employee 45</v>
      </c>
      <c r="C48" t="str">
        <f>VLOOKUP(A48,'Employee Information'!A:C,3,FALSE)</f>
        <v>Operations</v>
      </c>
      <c r="D48">
        <f>IFERROR(VLOOKUP(A48,'Performance Records'!A:B,2,FALSE),"PENDING REVIEW")</f>
        <v>77</v>
      </c>
      <c r="E48" t="str">
        <f t="shared" si="0"/>
        <v>GOOD</v>
      </c>
      <c r="F48" t="str">
        <f t="shared" si="1"/>
        <v>ELIGIBLE</v>
      </c>
    </row>
    <row r="49" spans="1:6" x14ac:dyDescent="0.3">
      <c r="A49" t="str">
        <f>('Employee Information'!A47)</f>
        <v>EMP1046</v>
      </c>
      <c r="B49" t="str">
        <f>VLOOKUP(A49,'Employee Information'!A:D,2,FALSE)</f>
        <v>Employee 46</v>
      </c>
      <c r="C49" t="str">
        <f>VLOOKUP(A49,'Employee Information'!A:C,3,FALSE)</f>
        <v>Operations</v>
      </c>
      <c r="D49">
        <f>IFERROR(VLOOKUP(A49,'Performance Records'!A:B,2,FALSE),"PENDING REVIEW")</f>
        <v>89</v>
      </c>
      <c r="E49" t="str">
        <f t="shared" si="0"/>
        <v>GOOD</v>
      </c>
      <c r="F49" t="str">
        <f t="shared" si="1"/>
        <v>ELIGIBLE</v>
      </c>
    </row>
    <row r="50" spans="1:6" x14ac:dyDescent="0.3">
      <c r="A50" t="str">
        <f>('Employee Information'!A48)</f>
        <v>EMP1047</v>
      </c>
      <c r="B50" t="str">
        <f>VLOOKUP(A50,'Employee Information'!A:D,2,FALSE)</f>
        <v>Employee 47</v>
      </c>
      <c r="C50" t="str">
        <f>VLOOKUP(A50,'Employee Information'!A:C,3,FALSE)</f>
        <v>IT</v>
      </c>
      <c r="D50" t="str">
        <f>IFERROR(VLOOKUP(A50,'Performance Records'!A:B,2,FALSE),"PENDING REVIEW")</f>
        <v>PENDING REVIEW</v>
      </c>
      <c r="E50" t="str">
        <f t="shared" si="0"/>
        <v>PENDING REVIEW</v>
      </c>
      <c r="F50" t="str">
        <f t="shared" si="1"/>
        <v xml:space="preserve"> PENDING REVIEW</v>
      </c>
    </row>
    <row r="51" spans="1:6" x14ac:dyDescent="0.3">
      <c r="A51" t="str">
        <f>('Employee Information'!A49)</f>
        <v>EMP1048</v>
      </c>
      <c r="B51" t="str">
        <f>VLOOKUP(A51,'Employee Information'!A:D,2,FALSE)</f>
        <v>Employee 48</v>
      </c>
      <c r="C51" t="str">
        <f>VLOOKUP(A51,'Employee Information'!A:C,3,FALSE)</f>
        <v>Sales</v>
      </c>
      <c r="D51">
        <f>IFERROR(VLOOKUP(A51,'Performance Records'!A:B,2,FALSE),"PENDING REVIEW")</f>
        <v>98</v>
      </c>
      <c r="E51" t="str">
        <f t="shared" si="0"/>
        <v>EXCELLENT</v>
      </c>
      <c r="F51" t="str">
        <f t="shared" si="1"/>
        <v>ELIGIBLE</v>
      </c>
    </row>
    <row r="52" spans="1:6" x14ac:dyDescent="0.3">
      <c r="A52" t="str">
        <f>('Employee Information'!A50)</f>
        <v>EMP1049</v>
      </c>
      <c r="B52" t="str">
        <f>VLOOKUP(A52,'Employee Information'!A:D,2,FALSE)</f>
        <v>Employee 49</v>
      </c>
      <c r="C52" t="str">
        <f>VLOOKUP(A52,'Employee Information'!A:C,3,FALSE)</f>
        <v>Finance</v>
      </c>
      <c r="D52">
        <f>IFERROR(VLOOKUP(A52,'Performance Records'!A:B,2,FALSE),"PENDING REVIEW")</f>
        <v>50</v>
      </c>
      <c r="E52" t="str">
        <f t="shared" si="0"/>
        <v>NEEDS IMPROVEMENT</v>
      </c>
      <c r="F52" t="str">
        <f>IF(E52="PENDING REVIEW"," PENDING REVIEW",IF(OR(E52="EXCELLENT",E52="GOOD"),"ELIGIBLE","NOT ELIGIBLE"))</f>
        <v>NOT ELIGIBLE</v>
      </c>
    </row>
    <row r="53" spans="1:6" x14ac:dyDescent="0.3">
      <c r="A53" t="str">
        <f>('Employee Information'!A51)</f>
        <v>EMP1050</v>
      </c>
      <c r="B53" t="str">
        <f>VLOOKUP(A53,'Employee Information'!A:D,2,FALSE)</f>
        <v>Employee 50</v>
      </c>
      <c r="C53" t="str">
        <f>VLOOKUP(A53,'Employee Information'!A:C,3,FALSE)</f>
        <v>Procurement</v>
      </c>
      <c r="D53">
        <f>IFERROR(VLOOKUP(A53,'Performance Records'!A:B,2,FALSE),"PENDING REVIEW")</f>
        <v>59</v>
      </c>
      <c r="E53" t="str">
        <f t="shared" si="0"/>
        <v>NEEDS IMPROVEMENT</v>
      </c>
      <c r="F53" t="str">
        <f>IF(E53="PENDING REVIEW"," PENDING REVIEW",IF(OR(E53="EXCELLENT",E53="GOOD"),"ELIGIBLE","NOT ELIGIBLE"))</f>
        <v>NOT ELIGIBLE</v>
      </c>
    </row>
    <row r="54" spans="1:6" x14ac:dyDescent="0.3">
      <c r="A54" t="str">
        <f>('Employee Information'!A52)</f>
        <v>EMP1051</v>
      </c>
      <c r="B54" t="str">
        <f>VLOOKUP(A54,'Employee Information'!A:D,2,FALSE)</f>
        <v>Employee 51</v>
      </c>
      <c r="C54" t="str">
        <f>VLOOKUP(A54,'Employee Information'!A:C,3,FALSE)</f>
        <v>Admin</v>
      </c>
      <c r="D54">
        <f>IFERROR(VLOOKUP(A54,'Performance Records'!A:B,2,FALSE),"PENDING REVIEW")</f>
        <v>89</v>
      </c>
      <c r="E54" t="str">
        <f t="shared" si="0"/>
        <v>GOOD</v>
      </c>
      <c r="F54" t="str">
        <f t="shared" si="1"/>
        <v>ELIGIBLE</v>
      </c>
    </row>
    <row r="55" spans="1:6" x14ac:dyDescent="0.3">
      <c r="A55" t="str">
        <f>('Employee Information'!A53)</f>
        <v>EMP1052</v>
      </c>
      <c r="B55" t="str">
        <f>VLOOKUP(A55,'Employee Information'!A:D,2,FALSE)</f>
        <v>Employee 52</v>
      </c>
      <c r="C55" t="str">
        <f>VLOOKUP(A55,'Employee Information'!A:C,3,FALSE)</f>
        <v>Admin</v>
      </c>
      <c r="D55">
        <f>IFERROR(VLOOKUP(A55,'Performance Records'!A:B,2,FALSE),"PENDING REVIEW")</f>
        <v>96</v>
      </c>
      <c r="E55" t="str">
        <f t="shared" si="0"/>
        <v>EXCELLENT</v>
      </c>
      <c r="F55" t="str">
        <f t="shared" si="1"/>
        <v>ELIGIBLE</v>
      </c>
    </row>
    <row r="56" spans="1:6" x14ac:dyDescent="0.3">
      <c r="A56" t="str">
        <f>('Employee Information'!A54)</f>
        <v>EMP1053</v>
      </c>
      <c r="B56" t="str">
        <f>VLOOKUP(A56,'Employee Information'!A:D,2,FALSE)</f>
        <v>Employee 53</v>
      </c>
      <c r="C56" t="str">
        <f>VLOOKUP(A56,'Employee Information'!A:C,3,FALSE)</f>
        <v>Finance</v>
      </c>
      <c r="D56" t="str">
        <f>IFERROR(VLOOKUP(A56,'Performance Records'!A:B,2,FALSE),"PENDING REVIEW")</f>
        <v>PENDING REVIEW</v>
      </c>
      <c r="E56" t="str">
        <f t="shared" si="0"/>
        <v>PENDING REVIEW</v>
      </c>
      <c r="F56" t="str">
        <f t="shared" si="1"/>
        <v xml:space="preserve"> PENDING REVIEW</v>
      </c>
    </row>
    <row r="57" spans="1:6" x14ac:dyDescent="0.3">
      <c r="A57" t="str">
        <f>('Employee Information'!A55)</f>
        <v>EMP1054</v>
      </c>
      <c r="B57" t="str">
        <f>VLOOKUP(A57,'Employee Information'!A:D,2,FALSE)</f>
        <v>Employee 54</v>
      </c>
      <c r="C57" t="str">
        <f>VLOOKUP(A57,'Employee Information'!A:C,3,FALSE)</f>
        <v>IT</v>
      </c>
      <c r="D57">
        <f>IFERROR(VLOOKUP(A57,'Performance Records'!A:B,2,FALSE),"PENDING REVIEW")</f>
        <v>85</v>
      </c>
      <c r="E57" t="str">
        <f t="shared" si="0"/>
        <v>GOOD</v>
      </c>
      <c r="F57" t="str">
        <f t="shared" si="1"/>
        <v>ELIGIBLE</v>
      </c>
    </row>
    <row r="58" spans="1:6" x14ac:dyDescent="0.3">
      <c r="A58" t="str">
        <f>('Employee Information'!A56)</f>
        <v>EMP1055</v>
      </c>
      <c r="B58" t="str">
        <f>VLOOKUP(A58,'Employee Information'!A:D,2,FALSE)</f>
        <v>Employee 55</v>
      </c>
      <c r="C58" t="str">
        <f>VLOOKUP(A58,'Employee Information'!A:C,3,FALSE)</f>
        <v>Operations</v>
      </c>
      <c r="D58">
        <f>IFERROR(VLOOKUP(A58,'Performance Records'!A:B,2,FALSE),"PENDING REVIEW")</f>
        <v>77</v>
      </c>
      <c r="E58" t="str">
        <f t="shared" si="0"/>
        <v>GOOD</v>
      </c>
      <c r="F58" t="str">
        <f t="shared" si="1"/>
        <v>ELIGIBLE</v>
      </c>
    </row>
    <row r="59" spans="1:6" x14ac:dyDescent="0.3">
      <c r="A59" t="str">
        <f>('Employee Information'!A57)</f>
        <v>EMP1056</v>
      </c>
      <c r="B59" t="str">
        <f>VLOOKUP(A59,'Employee Information'!A:D,2,FALSE)</f>
        <v>Employee 56</v>
      </c>
      <c r="C59" t="str">
        <f>VLOOKUP(A59,'Employee Information'!A:C,3,FALSE)</f>
        <v>Procurement</v>
      </c>
      <c r="D59">
        <f>IFERROR(VLOOKUP(A59,'Performance Records'!A:B,2,FALSE),"PENDING REVIEW")</f>
        <v>51</v>
      </c>
      <c r="E59" t="str">
        <f t="shared" si="0"/>
        <v>NEEDS IMPROVEMENT</v>
      </c>
      <c r="F59" t="str">
        <f>IF(E59="PENDING REVIEW"," PENDING REVIEW",IF(OR(E59="EXCELLENT",E59="GOOD"),"ELIGIBLE","NOT ELIGIBLE"))</f>
        <v>NOT ELIGIBLE</v>
      </c>
    </row>
    <row r="60" spans="1:6" x14ac:dyDescent="0.3">
      <c r="A60" t="str">
        <f>('Employee Information'!A58)</f>
        <v>EMP1057</v>
      </c>
      <c r="B60" t="str">
        <f>VLOOKUP(A60,'Employee Information'!A:D,2,FALSE)</f>
        <v>Employee 57</v>
      </c>
      <c r="C60" t="str">
        <f>VLOOKUP(A60,'Employee Information'!A:C,3,FALSE)</f>
        <v>HR</v>
      </c>
      <c r="D60">
        <f>IFERROR(VLOOKUP(A60,'Performance Records'!A:B,2,FALSE),"PENDING REVIEW")</f>
        <v>67</v>
      </c>
      <c r="E60" t="str">
        <f t="shared" si="0"/>
        <v>AVERAGE</v>
      </c>
      <c r="F60" t="str">
        <f>IF(E60="PENDING REVIEW"," PENDING REVIEW",IF(OR(E60="EXCELLENT",E60="GOOD"),"ELIGIBLE","NOT ELIGIBLE"))</f>
        <v>NOT ELIGIBLE</v>
      </c>
    </row>
    <row r="61" spans="1:6" x14ac:dyDescent="0.3">
      <c r="A61" t="str">
        <f>('Employee Information'!A59)</f>
        <v xml:space="preserve">EMP1058 </v>
      </c>
      <c r="B61" t="str">
        <f>VLOOKUP(A61,'Employee Information'!A:D,2,FALSE)</f>
        <v>Employee 58</v>
      </c>
      <c r="C61" t="str">
        <f>VLOOKUP(A61,'Employee Information'!A:C,3,FALSE)</f>
        <v>Finance</v>
      </c>
      <c r="D61" t="str">
        <f>IFERROR(VLOOKUP(A61,'Performance Records'!A:B,2,FALSE),"PENDING REVIEW")</f>
        <v>PENDING REVIEW</v>
      </c>
      <c r="E61" t="str">
        <f t="shared" si="0"/>
        <v>PENDING REVIEW</v>
      </c>
      <c r="F61" t="str">
        <f t="shared" si="1"/>
        <v xml:space="preserve"> PENDING REVIEW</v>
      </c>
    </row>
    <row r="62" spans="1:6" x14ac:dyDescent="0.3">
      <c r="A62" t="str">
        <f>('Employee Information'!A60)</f>
        <v>EMP1059</v>
      </c>
      <c r="B62" t="str">
        <f>VLOOKUP(A62,'Employee Information'!A:D,2,FALSE)</f>
        <v>Employee 59</v>
      </c>
      <c r="C62" t="str">
        <f>VLOOKUP(A62,'Employee Information'!A:C,3,FALSE)</f>
        <v>Finance</v>
      </c>
      <c r="D62" t="str">
        <f>IFERROR(VLOOKUP(A62,'Performance Records'!A:B,2,FALSE),"PENDING REVIEW")</f>
        <v>PENDING REVIEW</v>
      </c>
      <c r="E62" t="str">
        <f t="shared" si="0"/>
        <v>PENDING REVIEW</v>
      </c>
      <c r="F62" t="str">
        <f t="shared" si="1"/>
        <v xml:space="preserve"> PENDING REVIEW</v>
      </c>
    </row>
    <row r="63" spans="1:6" x14ac:dyDescent="0.3">
      <c r="A63" t="str">
        <f>('Employee Information'!A61)</f>
        <v>EMP1060</v>
      </c>
      <c r="B63" t="str">
        <f>VLOOKUP(A63,'Employee Information'!A:D,2,FALSE)</f>
        <v>Employee 60</v>
      </c>
      <c r="C63" t="str">
        <f>VLOOKUP(A63,'Employee Information'!A:C,3,FALSE)</f>
        <v>Procurement</v>
      </c>
      <c r="D63">
        <f>IFERROR(VLOOKUP(A63,'Performance Records'!A:B,2,FALSE),"PENDING REVIEW")</f>
        <v>56</v>
      </c>
      <c r="E63" t="str">
        <f t="shared" si="0"/>
        <v>NEEDS IMPROVEMENT</v>
      </c>
      <c r="F63" t="str">
        <f>IF(E4="PENDING REVIEW"," PENDING REVIEW",IF(OR(E63="EXCELLENT",E63="GOOD"),"ELIGIBLE","NOT ELIGIBLE"))</f>
        <v>NOT ELIGIBLE</v>
      </c>
    </row>
  </sheetData>
  <mergeCells count="1">
    <mergeCell ref="B1:E2"/>
  </mergeCells>
  <conditionalFormatting sqref="E4:E63">
    <cfRule type="cellIs" dxfId="12" priority="9" operator="between">
      <formula>"PENDING REVIEW"</formula>
      <formula>"PENDING REVIEW"</formula>
    </cfRule>
    <cfRule type="cellIs" priority="10" operator="between">
      <formula>"PENDING REVIEW"</formula>
      <formula>"PENDING REVIEW"</formula>
    </cfRule>
    <cfRule type="cellIs" dxfId="11" priority="11" operator="between">
      <formula>"AVERAGE"</formula>
      <formula>"AVERAGE"</formula>
    </cfRule>
    <cfRule type="cellIs" dxfId="10" priority="12" operator="between">
      <formula>"GOOD"</formula>
      <formula>"GOOD"</formula>
    </cfRule>
    <cfRule type="cellIs" dxfId="9" priority="13" operator="between">
      <formula>"NEEDS IMPROVEMENT"</formula>
      <formula>"NEEDS IMPROVEMENT"</formula>
    </cfRule>
    <cfRule type="cellIs" dxfId="8" priority="14" operator="between">
      <formula>"EXCELLENT"</formula>
      <formula>$E$51</formula>
    </cfRule>
  </conditionalFormatting>
  <conditionalFormatting sqref="F4:F63">
    <cfRule type="containsText" dxfId="7" priority="1" operator="containsText" text="PENDING REVIEW">
      <formula>NOT(ISERROR(SEARCH("PENDING REVIEW",F4)))</formula>
    </cfRule>
    <cfRule type="cellIs" dxfId="6" priority="2" operator="between">
      <formula>"PENDING REVIEW"</formula>
      <formula>"PENDING REVIEW"</formula>
    </cfRule>
    <cfRule type="cellIs" dxfId="5" priority="4" operator="between">
      <formula>"PENDING REVIEW"</formula>
      <formula>"PENDING REVIEW"</formula>
    </cfRule>
    <cfRule type="cellIs" dxfId="4" priority="5" operator="between">
      <formula>"PENDING REVIEW"</formula>
      <formula>"PENDING REVIEW"</formula>
    </cfRule>
    <cfRule type="cellIs" dxfId="3" priority="6" operator="between">
      <formula>"PENDING REVIEW"</formula>
      <formula>"PENDING REVIEW"</formula>
    </cfRule>
    <cfRule type="cellIs" dxfId="2" priority="7" operator="between">
      <formula>"NOT ELIGIBLE"</formula>
      <formula>"NOT ELIGIBLE"</formula>
    </cfRule>
    <cfRule type="cellIs" dxfId="1" priority="8" operator="between">
      <formula>"ELIGIBLE"</formula>
      <formula>"ELIGIBLE"</formula>
    </cfRule>
  </conditionalFormatting>
  <conditionalFormatting sqref="F50">
    <cfRule type="cellIs" dxfId="0" priority="3" operator="between">
      <formula>"PENDING REVIEW"</formula>
      <formula>"PENDING REVIEW"</formula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Employee Information</vt:lpstr>
      <vt:lpstr>Performance Records</vt:lpstr>
      <vt:lpstr>Performance summary</vt:lpstr>
      <vt:lpstr>'Performance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2026-07-28T12:28:17Z</cp:lastPrinted>
  <dcterms:created xsi:type="dcterms:W3CDTF">2026-07-23T09:29:02Z</dcterms:created>
  <dcterms:modified xsi:type="dcterms:W3CDTF">2026-07-28T12:58:05Z</dcterms:modified>
</cp:coreProperties>
</file>